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boursecgf-my.sharepoint.com/personal/dndoudy_cgfgestion_com/Documents/Bureau/"/>
    </mc:Choice>
  </mc:AlternateContent>
  <xr:revisionPtr revIDLastSave="642" documentId="8_{89C512E7-D11C-4A27-8B5C-30902765A3AE}" xr6:coauthVersionLast="47" xr6:coauthVersionMax="47" xr10:uidLastSave="{5CA9B7D2-6A3E-4D5B-A353-01737F173CDE}"/>
  <bookViews>
    <workbookView xWindow="-96" yWindow="0" windowWidth="11712" windowHeight="12336" tabRatio="781" xr2:uid="{AED8E1B3-8383-4D1B-B6F2-A8EB547A3613}"/>
  </bookViews>
  <sheets>
    <sheet name="Fiche_OCT25" sheetId="1" r:id="rId1"/>
    <sheet name="TCD_OCT25" sheetId="4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9" i="1"/>
  <c r="F3" i="1"/>
  <c r="F4" i="1"/>
  <c r="F6" i="1"/>
  <c r="F7" i="1"/>
  <c r="F8" i="1"/>
  <c r="F11" i="1"/>
  <c r="F14" i="1"/>
  <c r="F5" i="1"/>
  <c r="F15" i="1"/>
  <c r="F17" i="1"/>
  <c r="F16" i="1"/>
  <c r="F18" i="1"/>
  <c r="F21" i="1"/>
  <c r="F22" i="1"/>
  <c r="F23" i="1"/>
  <c r="F10" i="1"/>
  <c r="F20" i="1"/>
  <c r="F13" i="1"/>
  <c r="F9" i="1"/>
  <c r="F2" i="1"/>
  <c r="E2" i="1"/>
</calcChain>
</file>

<file path=xl/sharedStrings.xml><?xml version="1.0" encoding="utf-8"?>
<sst xmlns="http://schemas.openxmlformats.org/spreadsheetml/2006/main" count="174" uniqueCount="48">
  <si>
    <t>Type de fond</t>
  </si>
  <si>
    <t>Date de création</t>
  </si>
  <si>
    <t>Dépositaire</t>
  </si>
  <si>
    <t>FCPCR SONATEL</t>
  </si>
  <si>
    <t>Diversifié</t>
  </si>
  <si>
    <t>Actions</t>
  </si>
  <si>
    <t>Obligataire</t>
  </si>
  <si>
    <t>FCP ACTION PHARMACIE</t>
  </si>
  <si>
    <t>FCP SALAM CI</t>
  </si>
  <si>
    <t>FCP AL BARAKA 2</t>
  </si>
  <si>
    <t>FCP ASSUR SENEGAL</t>
  </si>
  <si>
    <t>FCP BNDE VALEURS</t>
  </si>
  <si>
    <t>FCP CAPITAL RETRAITE</t>
  </si>
  <si>
    <t>FCP DIASPORA</t>
  </si>
  <si>
    <t>FCP EXPAT</t>
  </si>
  <si>
    <t>FCP LIQUIDITE OPTIMUM</t>
  </si>
  <si>
    <t>FCP AVANTAGE AKWABA</t>
  </si>
  <si>
    <t>FCP PLACEMENT CROISSANCE</t>
  </si>
  <si>
    <t>FCP POSTEFINANCE HORIZON</t>
  </si>
  <si>
    <t>FCP PLACEMENT QUIETUDE</t>
  </si>
  <si>
    <t>FCP RENTE PERPETUELLE</t>
  </si>
  <si>
    <t>FCP TRANSVIE</t>
  </si>
  <si>
    <t>FCP WALO</t>
  </si>
  <si>
    <t>FCP DP WORLD</t>
  </si>
  <si>
    <t>FCP SINI GNESIGUI</t>
  </si>
  <si>
    <t>FCP FORCE PAD</t>
  </si>
  <si>
    <t>FCP IFC-BOAD</t>
  </si>
  <si>
    <t>FCP DJOLOF</t>
  </si>
  <si>
    <t>Echelle de risque</t>
  </si>
  <si>
    <t>Benchmark_Obligataire</t>
  </si>
  <si>
    <t>Benchmark_BRVMC</t>
  </si>
  <si>
    <t>CGF Bourse</t>
  </si>
  <si>
    <t>Frais de gestion
(TTC de l'actif net / an)</t>
  </si>
  <si>
    <t>Horizon d'investisement
(en années)</t>
  </si>
  <si>
    <t>Fond Commun de Placement
(FCP)</t>
  </si>
  <si>
    <t>Néant</t>
  </si>
  <si>
    <t>Frais d'entrée TTC</t>
  </si>
  <si>
    <t>Frais de sortie TTC</t>
  </si>
  <si>
    <t>Impaxis Securities</t>
  </si>
  <si>
    <t>1% HT</t>
  </si>
  <si>
    <t>Étiquettes de lignes</t>
  </si>
  <si>
    <t>Total général</t>
  </si>
  <si>
    <t>(Tous)</t>
  </si>
  <si>
    <t>% Benchmark_BRVMC</t>
  </si>
  <si>
    <t>% Benchmark_Obligataire</t>
  </si>
  <si>
    <t>Frais de gestion (%)
(TTC de l'actif net / an)</t>
  </si>
  <si>
    <t>Effectif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</si>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</sst>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\ [$XOF]"/>
    <numFmt numFmtId="166" formatCode="#,##0\ [$XOF]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9" fontId="3" fillId="2" borderId="0" xfId="1" applyFont="1" applyFill="1"/>
    <xf numFmtId="164" fontId="3" fillId="2" borderId="0" xfId="0" applyNumberFormat="1" applyFont="1" applyFill="1"/>
    <xf numFmtId="0" fontId="4" fillId="0" borderId="0" xfId="0" applyFont="1" applyAlignment="1">
      <alignment horizontal="center" vertical="center"/>
    </xf>
    <xf numFmtId="9" fontId="4" fillId="0" borderId="0" xfId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1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0" fontId="4" fillId="0" borderId="0" xfId="1" applyNumberFormat="1" applyFont="1" applyFill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10" fontId="3" fillId="0" borderId="0" xfId="0" applyNumberFormat="1" applyFont="1"/>
    <xf numFmtId="0" fontId="5" fillId="0" borderId="0" xfId="0" applyFont="1"/>
    <xf numFmtId="9" fontId="0" fillId="0" borderId="0" xfId="0" applyNumberFormat="1"/>
  </cellXfs>
  <cellStyles count="2">
    <cellStyle name="Normal" xfId="0" builtinId="0"/>
    <cellStyle name="Pourcentage" xfId="1" builtinId="5"/>
  </cellStyles>
  <dxfs count="50"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4" formatCode="0.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6" formatCode="#,##0\ [$XOF]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6" formatCode="#,##0\ [$XOF]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[Fiche signalétique des FCP (Octobre 2025).xlsx]TCD_OCT25!Tableau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de fond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1629519564140713E-2"/>
              <c:y val="1.4684287812041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4200099058940076E-2"/>
              <c:y val="-3.67107195301027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TCD_OCT25!$B$1</c:f>
              <c:strCache>
                <c:ptCount val="1"/>
                <c:pt idx="0">
                  <c:v>Proportion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761-4AAD-B5BD-1EFA9B4901D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61-4AAD-B5BD-1EFA9B4901D8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61-4AAD-B5BD-1EFA9B4901D8}"/>
              </c:ext>
            </c:extLst>
          </c:dPt>
          <c:dLbls>
            <c:dLbl>
              <c:idx val="0"/>
              <c:layout>
                <c:manualLayout>
                  <c:x val="8.4200099058940076E-2"/>
                  <c:y val="-3.671071953010278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61-4AAD-B5BD-1EFA9B4901D8}"/>
                </c:ext>
              </c:extLst>
            </c:dLbl>
            <c:dLbl>
              <c:idx val="2"/>
              <c:layout>
                <c:manualLayout>
                  <c:x val="-9.1629519564140713E-2"/>
                  <c:y val="1.46842878120411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61-4AAD-B5BD-1EFA9B4901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>
                        <a:tint val="7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TCD_OCT25!$A$2:$A$5</c:f>
              <c:strCache>
                <c:ptCount val="3"/>
                <c:pt idx="0">
                  <c:v>Actions</c:v>
                </c:pt>
                <c:pt idx="1">
                  <c:v>Diversifié</c:v>
                </c:pt>
                <c:pt idx="2">
                  <c:v>Obligataire</c:v>
                </c:pt>
              </c:strCache>
            </c:strRef>
          </c:cat>
          <c:val>
            <c:numRef>
              <c:f>TCD_OCT25!$B$2:$B$5</c:f>
              <c:numCache>
                <c:formatCode>0.00%</c:formatCode>
                <c:ptCount val="3"/>
                <c:pt idx="0">
                  <c:v>4.5454545454545456E-2</c:v>
                </c:pt>
                <c:pt idx="1">
                  <c:v>0.90909090909090906</c:v>
                </c:pt>
                <c:pt idx="2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1-4AAD-B5BD-1EFA9B4901D8}"/>
            </c:ext>
          </c:extLst>
        </c:ser>
        <c:ser>
          <c:idx val="1"/>
          <c:order val="1"/>
          <c:tx>
            <c:strRef>
              <c:f>TCD_OCT25!$C$1</c:f>
              <c:strCache>
                <c:ptCount val="1"/>
                <c:pt idx="0">
                  <c:v>Effectif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761-4AAD-B5BD-1EFA9B4901D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761-4AAD-B5BD-1EFA9B4901D8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761-4AAD-B5BD-1EFA9B4901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>
                        <a:shade val="76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TCD_OCT25!$A$2:$A$5</c:f>
              <c:strCache>
                <c:ptCount val="3"/>
                <c:pt idx="0">
                  <c:v>Actions</c:v>
                </c:pt>
                <c:pt idx="1">
                  <c:v>Diversifié</c:v>
                </c:pt>
                <c:pt idx="2">
                  <c:v>Obligataire</c:v>
                </c:pt>
              </c:strCache>
            </c:strRef>
          </c:cat>
          <c:val>
            <c:numRef>
              <c:f>TCD_OCT25!$C$2:$C$5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61-4AAD-B5BD-1EFA9B4901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[Fiche signalétique des FCP (Octobre 2025).xlsx]TCD_OCT25!Tableau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50000"/>
                  </a:schemeClr>
                </a:solidFill>
              </a:rPr>
              <a:t>FRAIS DE GESTION (TTC DE L'ACTIF NET/AN)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TCD_OCT25!$B$27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TCD_OCT25!$A$28:$A$49</c:f>
              <c:strCache>
                <c:ptCount val="22"/>
                <c:pt idx="0">
                  <c:v>FCP FORCE PAD</c:v>
                </c:pt>
                <c:pt idx="1">
                  <c:v>FCP PLACEMENT QUIETUDE</c:v>
                </c:pt>
                <c:pt idx="2">
                  <c:v>FCP DJOLOF</c:v>
                </c:pt>
                <c:pt idx="3">
                  <c:v>FCP IFC-BOAD</c:v>
                </c:pt>
                <c:pt idx="4">
                  <c:v>FCP LIQUIDITE OPTIMUM</c:v>
                </c:pt>
                <c:pt idx="5">
                  <c:v>FCP ASSUR SENEGAL</c:v>
                </c:pt>
                <c:pt idx="6">
                  <c:v>FCP EXPAT</c:v>
                </c:pt>
                <c:pt idx="7">
                  <c:v>FCPCR SONATEL</c:v>
                </c:pt>
                <c:pt idx="8">
                  <c:v>FCP AVANTAGE AKWABA</c:v>
                </c:pt>
                <c:pt idx="9">
                  <c:v>FCP PLACEMENT CROISSANCE</c:v>
                </c:pt>
                <c:pt idx="10">
                  <c:v>FCP POSTEFINANCE HORIZON</c:v>
                </c:pt>
                <c:pt idx="11">
                  <c:v>FCP SINI GNESIGUI</c:v>
                </c:pt>
                <c:pt idx="12">
                  <c:v>FCP ACTION PHARMACIE</c:v>
                </c:pt>
                <c:pt idx="13">
                  <c:v>FCP DP WORLD</c:v>
                </c:pt>
                <c:pt idx="14">
                  <c:v>FCP BNDE VALEURS</c:v>
                </c:pt>
                <c:pt idx="15">
                  <c:v>FCP RENTE PERPETUELLE</c:v>
                </c:pt>
                <c:pt idx="16">
                  <c:v>FCP CAPITAL RETRAITE</c:v>
                </c:pt>
                <c:pt idx="17">
                  <c:v>FCP TRANSVIE</c:v>
                </c:pt>
                <c:pt idx="18">
                  <c:v>FCP SALAM CI</c:v>
                </c:pt>
                <c:pt idx="19">
                  <c:v>FCP WALO</c:v>
                </c:pt>
                <c:pt idx="20">
                  <c:v>FCP AL BARAKA 2</c:v>
                </c:pt>
                <c:pt idx="21">
                  <c:v>FCP DIASPORA</c:v>
                </c:pt>
              </c:strCache>
            </c:strRef>
          </c:cat>
          <c:val>
            <c:numRef>
              <c:f>TCD_OCT25!$B$28:$B$49</c:f>
              <c:numCache>
                <c:formatCode>0.00%</c:formatCode>
                <c:ptCount val="22"/>
                <c:pt idx="0">
                  <c:v>1.18E-2</c:v>
                </c:pt>
                <c:pt idx="1">
                  <c:v>1.18E-2</c:v>
                </c:pt>
                <c:pt idx="2">
                  <c:v>1.18E-2</c:v>
                </c:pt>
                <c:pt idx="3">
                  <c:v>1.4999999999999999E-2</c:v>
                </c:pt>
                <c:pt idx="4">
                  <c:v>1.7999999999999999E-2</c:v>
                </c:pt>
                <c:pt idx="5">
                  <c:v>1.7999999999999999E-2</c:v>
                </c:pt>
                <c:pt idx="6">
                  <c:v>1.7999999999999999E-2</c:v>
                </c:pt>
                <c:pt idx="7">
                  <c:v>1.7999999999999999E-2</c:v>
                </c:pt>
                <c:pt idx="8">
                  <c:v>1.7999999999999999E-2</c:v>
                </c:pt>
                <c:pt idx="9">
                  <c:v>2.1000000000000001E-2</c:v>
                </c:pt>
                <c:pt idx="10">
                  <c:v>2.1000000000000001E-2</c:v>
                </c:pt>
                <c:pt idx="11">
                  <c:v>2.1000000000000001E-2</c:v>
                </c:pt>
                <c:pt idx="12">
                  <c:v>2.1000000000000001E-2</c:v>
                </c:pt>
                <c:pt idx="13">
                  <c:v>2.12E-2</c:v>
                </c:pt>
                <c:pt idx="14">
                  <c:v>2.4E-2</c:v>
                </c:pt>
                <c:pt idx="15">
                  <c:v>2.8000000000000001E-2</c:v>
                </c:pt>
                <c:pt idx="16">
                  <c:v>2.8000000000000001E-2</c:v>
                </c:pt>
                <c:pt idx="17">
                  <c:v>2.8000000000000001E-2</c:v>
                </c:pt>
                <c:pt idx="18">
                  <c:v>2.8000000000000001E-2</c:v>
                </c:pt>
                <c:pt idx="19">
                  <c:v>2.8000000000000001E-2</c:v>
                </c:pt>
                <c:pt idx="20">
                  <c:v>2.8000000000000001E-2</c:v>
                </c:pt>
                <c:pt idx="21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C-42BA-A4B5-981416C038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37434799"/>
        <c:axId val="1437438639"/>
      </c:barChart>
      <c:catAx>
        <c:axId val="143743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438639"/>
        <c:crosses val="autoZero"/>
        <c:auto val="1"/>
        <c:lblAlgn val="ctr"/>
        <c:lblOffset val="100"/>
        <c:noMultiLvlLbl val="0"/>
      </c:catAx>
      <c:valAx>
        <c:axId val="143743863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43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[Fiche signalétique des FCP (Octobre 2025).xlsx]TCD_OCT25!Tableau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bg2">
                    <a:lumMod val="50000"/>
                  </a:schemeClr>
                </a:solidFill>
              </a:rPr>
              <a:t>REPARTITION BENCHMARK PAR FCP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910253498683921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8996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7.092304198420662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921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7.092304198420705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877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2.364101399473568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3.546152099210439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050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7.092304198420705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3.546152099210266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921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050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83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TCD_OCT25!$F$3</c:f>
              <c:strCache>
                <c:ptCount val="1"/>
                <c:pt idx="0">
                  <c:v>% Benchmark_Obligataire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1-471D-895D-2F527A4DAB8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E06-4CD1-ACE9-49F1423BE0DB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E06-4CD1-ACE9-49F1423BE0DB}"/>
              </c:ext>
            </c:extLst>
          </c:dPt>
          <c:dLbls>
            <c:dLbl>
              <c:idx val="0"/>
              <c:layout>
                <c:manualLayout>
                  <c:x val="-3.546152099210439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D1-471D-895D-2F527A4DAB8B}"/>
                </c:ext>
              </c:extLst>
            </c:dLbl>
            <c:dLbl>
              <c:idx val="2"/>
              <c:layout>
                <c:manualLayout>
                  <c:x val="-5.910253498683921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06-4CD1-ACE9-49F1423BE0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TCD_OCT25!$E$4:$E$25</c:f>
              <c:strCache>
                <c:ptCount val="22"/>
                <c:pt idx="0">
                  <c:v>FCP PLACEMENT CROISSANCE</c:v>
                </c:pt>
                <c:pt idx="1">
                  <c:v>FCPCR SONATEL</c:v>
                </c:pt>
                <c:pt idx="2">
                  <c:v>FCP ASSUR SENEGAL</c:v>
                </c:pt>
                <c:pt idx="3">
                  <c:v>FCP POSTEFINANCE HORIZON</c:v>
                </c:pt>
                <c:pt idx="4">
                  <c:v>FCP RENTE PERPETUELLE</c:v>
                </c:pt>
                <c:pt idx="5">
                  <c:v>FCP EXPAT</c:v>
                </c:pt>
                <c:pt idx="6">
                  <c:v>FCP SALAM CI</c:v>
                </c:pt>
                <c:pt idx="7">
                  <c:v>FCP BNDE VALEURS</c:v>
                </c:pt>
                <c:pt idx="8">
                  <c:v>FCP WALO</c:v>
                </c:pt>
                <c:pt idx="9">
                  <c:v>FCP DIASPORA</c:v>
                </c:pt>
                <c:pt idx="10">
                  <c:v>FCP TRANSVIE</c:v>
                </c:pt>
                <c:pt idx="11">
                  <c:v>FCP FORCE PAD</c:v>
                </c:pt>
                <c:pt idx="12">
                  <c:v>FCP ACTION PHARMACIE</c:v>
                </c:pt>
                <c:pt idx="13">
                  <c:v>FCP DP WORLD</c:v>
                </c:pt>
                <c:pt idx="14">
                  <c:v>FCP AL BARAKA 2</c:v>
                </c:pt>
                <c:pt idx="15">
                  <c:v>FCP SINI GNESIGUI</c:v>
                </c:pt>
                <c:pt idx="16">
                  <c:v>FCP AVANTAGE AKWABA</c:v>
                </c:pt>
                <c:pt idx="17">
                  <c:v>FCP CAPITAL RETRAITE</c:v>
                </c:pt>
                <c:pt idx="18">
                  <c:v>FCP LIQUIDITE OPTIMUM</c:v>
                </c:pt>
                <c:pt idx="19">
                  <c:v>FCP PLACEMENT QUIETUDE</c:v>
                </c:pt>
                <c:pt idx="20">
                  <c:v>FCP DJOLOF</c:v>
                </c:pt>
                <c:pt idx="21">
                  <c:v>FCP IFC-BOAD</c:v>
                </c:pt>
              </c:strCache>
            </c:strRef>
          </c:cat>
          <c:val>
            <c:numRef>
              <c:f>TCD_OCT25!$F$4:$F$25</c:f>
              <c:numCache>
                <c:formatCode>0%</c:formatCode>
                <c:ptCount val="22"/>
                <c:pt idx="0">
                  <c:v>0</c:v>
                </c:pt>
                <c:pt idx="1">
                  <c:v>0.45</c:v>
                </c:pt>
                <c:pt idx="2">
                  <c:v>0.45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0.85</c:v>
                </c:pt>
                <c:pt idx="19">
                  <c:v>0.9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247-4448-8112-93EB30F999AD}"/>
            </c:ext>
          </c:extLst>
        </c:ser>
        <c:ser>
          <c:idx val="1"/>
          <c:order val="1"/>
          <c:tx>
            <c:strRef>
              <c:f>TCD_OCT25!$G$3</c:f>
              <c:strCache>
                <c:ptCount val="1"/>
                <c:pt idx="0">
                  <c:v>% Benchmark_BRVMC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E06-4CD1-ACE9-49F1423BE0D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06-4CD1-ACE9-49F1423BE0D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E06-4CD1-ACE9-49F1423BE0D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E06-4CD1-ACE9-49F1423BE0D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E06-4CD1-ACE9-49F1423BE0D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06-4CD1-ACE9-49F1423BE0D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E06-4CD1-ACE9-49F1423BE0D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0D1-471D-895D-2F527A4DAB8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06-4CD1-ACE9-49F1423BE0D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E06-4CD1-ACE9-49F1423BE0DB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E06-4CD1-ACE9-49F1423BE0D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0D1-471D-895D-2F527A4DAB8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6-4CD1-ACE9-49F1423BE0D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E06-4CD1-ACE9-49F1423BE0D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E06-4CD1-ACE9-49F1423BE0DB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E06-4CD1-ACE9-49F1423BE0DB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E06-4CD1-ACE9-49F1423BE0DB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E06-4CD1-ACE9-49F1423BE0DB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E06-4CD1-ACE9-49F1423BE0DB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0D1-471D-895D-2F527A4DAB8B}"/>
              </c:ext>
            </c:extLst>
          </c:dPt>
          <c:dLbls>
            <c:dLbl>
              <c:idx val="3"/>
              <c:layout>
                <c:manualLayout>
                  <c:x val="3.546152099210266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06-4CD1-ACE9-49F1423BE0DB}"/>
                </c:ext>
              </c:extLst>
            </c:dLbl>
            <c:dLbl>
              <c:idx val="4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06-4CD1-ACE9-49F1423BE0DB}"/>
                </c:ext>
              </c:extLst>
            </c:dLbl>
            <c:dLbl>
              <c:idx val="6"/>
              <c:layout>
                <c:manualLayout>
                  <c:x val="5.910253498683921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06-4CD1-ACE9-49F1423BE0DB}"/>
                </c:ext>
              </c:extLst>
            </c:dLbl>
            <c:dLbl>
              <c:idx val="7"/>
              <c:layout>
                <c:manualLayout>
                  <c:x val="7.092304198420662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06-4CD1-ACE9-49F1423BE0DB}"/>
                </c:ext>
              </c:extLst>
            </c:dLbl>
            <c:dLbl>
              <c:idx val="8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06-4CD1-ACE9-49F1423BE0DB}"/>
                </c:ext>
              </c:extLst>
            </c:dLbl>
            <c:dLbl>
              <c:idx val="9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0D1-471D-895D-2F527A4DAB8B}"/>
                </c:ext>
              </c:extLst>
            </c:dLbl>
            <c:dLbl>
              <c:idx val="10"/>
              <c:layout>
                <c:manualLayout>
                  <c:x val="5.910253498683834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06-4CD1-ACE9-49F1423BE0DB}"/>
                </c:ext>
              </c:extLst>
            </c:dLbl>
            <c:dLbl>
              <c:idx val="11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06-4CD1-ACE9-49F1423BE0DB}"/>
                </c:ext>
              </c:extLst>
            </c:dLbl>
            <c:dLbl>
              <c:idx val="13"/>
              <c:layout>
                <c:manualLayout>
                  <c:x val="7.092304198420705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0D1-471D-895D-2F527A4DAB8B}"/>
                </c:ext>
              </c:extLst>
            </c:dLbl>
            <c:dLbl>
              <c:idx val="14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6-4CD1-ACE9-49F1423BE0DB}"/>
                </c:ext>
              </c:extLst>
            </c:dLbl>
            <c:dLbl>
              <c:idx val="15"/>
              <c:layout>
                <c:manualLayout>
                  <c:x val="4.728202798947050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E06-4CD1-ACE9-49F1423BE0DB}"/>
                </c:ext>
              </c:extLst>
            </c:dLbl>
            <c:dLbl>
              <c:idx val="16"/>
              <c:layout>
                <c:manualLayout>
                  <c:x val="5.910253498683899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E06-4CD1-ACE9-49F1423BE0DB}"/>
                </c:ext>
              </c:extLst>
            </c:dLbl>
            <c:dLbl>
              <c:idx val="17"/>
              <c:layout>
                <c:manualLayout>
                  <c:x val="5.910253498683921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E06-4CD1-ACE9-49F1423BE0DB}"/>
                </c:ext>
              </c:extLst>
            </c:dLbl>
            <c:dLbl>
              <c:idx val="18"/>
              <c:layout>
                <c:manualLayout>
                  <c:x val="4.728202798947050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E06-4CD1-ACE9-49F1423BE0DB}"/>
                </c:ext>
              </c:extLst>
            </c:dLbl>
            <c:dLbl>
              <c:idx val="19"/>
              <c:layout>
                <c:manualLayout>
                  <c:x val="7.092304198420705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E06-4CD1-ACE9-49F1423BE0DB}"/>
                </c:ext>
              </c:extLst>
            </c:dLbl>
            <c:dLbl>
              <c:idx val="20"/>
              <c:layout>
                <c:manualLayout>
                  <c:x val="5.910253498683877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E06-4CD1-ACE9-49F1423BE0DB}"/>
                </c:ext>
              </c:extLst>
            </c:dLbl>
            <c:dLbl>
              <c:idx val="21"/>
              <c:layout>
                <c:manualLayout>
                  <c:x val="2.364101399473568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0D1-471D-895D-2F527A4DAB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TCD_OCT25!$E$4:$E$25</c:f>
              <c:strCache>
                <c:ptCount val="22"/>
                <c:pt idx="0">
                  <c:v>FCP PLACEMENT CROISSANCE</c:v>
                </c:pt>
                <c:pt idx="1">
                  <c:v>FCPCR SONATEL</c:v>
                </c:pt>
                <c:pt idx="2">
                  <c:v>FCP ASSUR SENEGAL</c:v>
                </c:pt>
                <c:pt idx="3">
                  <c:v>FCP POSTEFINANCE HORIZON</c:v>
                </c:pt>
                <c:pt idx="4">
                  <c:v>FCP RENTE PERPETUELLE</c:v>
                </c:pt>
                <c:pt idx="5">
                  <c:v>FCP EXPAT</c:v>
                </c:pt>
                <c:pt idx="6">
                  <c:v>FCP SALAM CI</c:v>
                </c:pt>
                <c:pt idx="7">
                  <c:v>FCP BNDE VALEURS</c:v>
                </c:pt>
                <c:pt idx="8">
                  <c:v>FCP WALO</c:v>
                </c:pt>
                <c:pt idx="9">
                  <c:v>FCP DIASPORA</c:v>
                </c:pt>
                <c:pt idx="10">
                  <c:v>FCP TRANSVIE</c:v>
                </c:pt>
                <c:pt idx="11">
                  <c:v>FCP FORCE PAD</c:v>
                </c:pt>
                <c:pt idx="12">
                  <c:v>FCP ACTION PHARMACIE</c:v>
                </c:pt>
                <c:pt idx="13">
                  <c:v>FCP DP WORLD</c:v>
                </c:pt>
                <c:pt idx="14">
                  <c:v>FCP AL BARAKA 2</c:v>
                </c:pt>
                <c:pt idx="15">
                  <c:v>FCP SINI GNESIGUI</c:v>
                </c:pt>
                <c:pt idx="16">
                  <c:v>FCP AVANTAGE AKWABA</c:v>
                </c:pt>
                <c:pt idx="17">
                  <c:v>FCP CAPITAL RETRAITE</c:v>
                </c:pt>
                <c:pt idx="18">
                  <c:v>FCP LIQUIDITE OPTIMUM</c:v>
                </c:pt>
                <c:pt idx="19">
                  <c:v>FCP PLACEMENT QUIETUDE</c:v>
                </c:pt>
                <c:pt idx="20">
                  <c:v>FCP DJOLOF</c:v>
                </c:pt>
                <c:pt idx="21">
                  <c:v>FCP IFC-BOAD</c:v>
                </c:pt>
              </c:strCache>
            </c:strRef>
          </c:cat>
          <c:val>
            <c:numRef>
              <c:f>TCD_OCT25!$G$4:$G$25</c:f>
              <c:numCache>
                <c:formatCode>0%</c:formatCode>
                <c:ptCount val="22"/>
                <c:pt idx="0">
                  <c:v>1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0.30000000000000004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0.19999999999999996</c:v>
                </c:pt>
                <c:pt idx="17">
                  <c:v>0.15000000000000002</c:v>
                </c:pt>
                <c:pt idx="18">
                  <c:v>0.15000000000000002</c:v>
                </c:pt>
                <c:pt idx="19">
                  <c:v>9.9999999999999978E-2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247-4448-8112-93EB30F999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6197759"/>
        <c:axId val="1351714879"/>
      </c:barChart>
      <c:catAx>
        <c:axId val="142619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714879"/>
        <c:crosses val="autoZero"/>
        <c:auto val="1"/>
        <c:lblAlgn val="ctr"/>
        <c:lblOffset val="100"/>
        <c:noMultiLvlLbl val="0"/>
      </c:catAx>
      <c:valAx>
        <c:axId val="13517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19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[Fiche signalétique des FCP (Octobre 2025).xlsx]TCD_OCT25!Tableau croisé dynamique6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REPARTITION DES DEPOSITAIRES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5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dk1">
              <a:tint val="5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497981342892038"/>
              <c:y val="2.80575486588589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dk1">
              <a:tint val="5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TCD_OCT25!$N$28</c:f>
              <c:strCache>
                <c:ptCount val="1"/>
                <c:pt idx="0">
                  <c:v>Proportion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E03E-4FBC-A391-8FC5EADF131B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E03E-4FBC-A391-8FC5EADF131B}"/>
              </c:ext>
            </c:extLst>
          </c:dPt>
          <c:dLbls>
            <c:dLbl>
              <c:idx val="1"/>
              <c:layout>
                <c:manualLayout>
                  <c:x val="-0.10497981342892038"/>
                  <c:y val="2.805754865885899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03E-4FBC-A391-8FC5EADF13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TCD_OCT25!$M$29:$M$31</c:f>
              <c:strCache>
                <c:ptCount val="2"/>
                <c:pt idx="0">
                  <c:v>CGF Bourse</c:v>
                </c:pt>
                <c:pt idx="1">
                  <c:v>Impaxis Securities</c:v>
                </c:pt>
              </c:strCache>
            </c:strRef>
          </c:cat>
          <c:val>
            <c:numRef>
              <c:f>TCD_OCT25!$N$29:$N$31</c:f>
              <c:numCache>
                <c:formatCode>0.00%</c:formatCode>
                <c:ptCount val="2"/>
                <c:pt idx="0">
                  <c:v>0.95454545454545459</c:v>
                </c:pt>
                <c:pt idx="1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03E-4FBC-A391-8FC5EADF131B}"/>
            </c:ext>
          </c:extLst>
        </c:ser>
        <c:ser>
          <c:idx val="1"/>
          <c:order val="1"/>
          <c:tx>
            <c:strRef>
              <c:f>TCD_OCT25!$O$28</c:f>
              <c:strCache>
                <c:ptCount val="1"/>
                <c:pt idx="0">
                  <c:v>Effectif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E03E-4FBC-A391-8FC5EADF131B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E03E-4FBC-A391-8FC5EADF13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dk1">
                        <a:tint val="5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TCD_OCT25!$M$29:$M$31</c:f>
              <c:strCache>
                <c:ptCount val="2"/>
                <c:pt idx="0">
                  <c:v>CGF Bourse</c:v>
                </c:pt>
                <c:pt idx="1">
                  <c:v>Impaxis Securities</c:v>
                </c:pt>
              </c:strCache>
            </c:strRef>
          </c:cat>
          <c:val>
            <c:numRef>
              <c:f>TCD_OCT25!$O$29:$O$31</c:f>
              <c:numCache>
                <c:formatCode>General</c:formatCode>
                <c:ptCount val="2"/>
                <c:pt idx="0">
                  <c:v>21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03E-4FBC-A391-8FC5EADF1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lumMod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7620</xdr:rowOff>
    </xdr:from>
    <xdr:to>
      <xdr:col>2</xdr:col>
      <xdr:colOff>1417320</xdr:colOff>
      <xdr:row>23</xdr:row>
      <xdr:rowOff>175260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CFC07DB-07AC-01CD-48CA-114F20FF9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40208</xdr:colOff>
      <xdr:row>25</xdr:row>
      <xdr:rowOff>166394</xdr:rowOff>
    </xdr:from>
    <xdr:to>
      <xdr:col>10</xdr:col>
      <xdr:colOff>223253</xdr:colOff>
      <xdr:row>52</xdr:row>
      <xdr:rowOff>166395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2BBCDE8-41A9-8747-08CF-106B42FFC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55193</xdr:colOff>
      <xdr:row>0</xdr:row>
      <xdr:rowOff>0</xdr:rowOff>
    </xdr:from>
    <xdr:to>
      <xdr:col>22</xdr:col>
      <xdr:colOff>698500</xdr:colOff>
      <xdr:row>25</xdr:row>
      <xdr:rowOff>12700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564F6EE-3115-0614-C853-E51521DB4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392723</xdr:colOff>
      <xdr:row>31</xdr:row>
      <xdr:rowOff>64476</xdr:rowOff>
    </xdr:from>
    <xdr:to>
      <xdr:col>14</xdr:col>
      <xdr:colOff>1441938</xdr:colOff>
      <xdr:row>53</xdr:row>
      <xdr:rowOff>11723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7040C15-B05B-553C-C814-42B74932A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E NDOUDY-BAMOUENIZO" refreshedDate="45987.483954976851" createdVersion="8" refreshedVersion="8" minRefreshableVersion="3" recordCount="22" xr:uid="{F92B53EE-8F44-47F5-A45B-A267BF6F0C0A}">
  <cacheSource type="worksheet">
    <worksheetSource name="Tableau1"/>
  </cacheSource>
  <cacheFields count="11">
    <cacheField name="Fond Commun de Placement_x000a_(FCP)" numFmtId="0">
      <sharedItems count="22">
        <s v="FCP ACTION PHARMACIE"/>
        <s v="FCP SALAM CI"/>
        <s v="FCP AL BARAKA 2"/>
        <s v="FCP ASSUR SENEGAL"/>
        <s v="FCP BNDE VALEURS"/>
        <s v="FCP CAPITAL RETRAITE"/>
        <s v="FCP DIASPORA"/>
        <s v="FCP EXPAT"/>
        <s v="FCP LIQUIDITE OPTIMUM"/>
        <s v="FCP AVANTAGE AKWABA"/>
        <s v="FCP PLACEMENT CROISSANCE"/>
        <s v="FCP POSTEFINANCE HORIZON"/>
        <s v="FCP PLACEMENT QUIETUDE"/>
        <s v="FCP RENTE PERPETUELLE"/>
        <s v="FCP TRANSVIE"/>
        <s v="FCP WALO"/>
        <s v="FCPCR SONATEL"/>
        <s v="FCP DP WORLD"/>
        <s v="FCP SINI GNESIGUI"/>
        <s v="FCP FORCE PAD"/>
        <s v="FCP IFC-BOAD"/>
        <s v="FCP DJOLOF"/>
      </sharedItems>
    </cacheField>
    <cacheField name="Echelle de risque" numFmtId="0">
      <sharedItems containsSemiMixedTypes="0" containsString="0" containsNumber="1" containsInteger="1" minValue="2" maxValue="7"/>
    </cacheField>
    <cacheField name="Type de fond" numFmtId="0">
      <sharedItems count="3">
        <s v="Diversifié"/>
        <s v="Actions"/>
        <s v="Obligataire"/>
      </sharedItems>
    </cacheField>
    <cacheField name="Horizon d'investisement_x000a_(en années)" numFmtId="0">
      <sharedItems containsSemiMixedTypes="0" containsString="0" containsNumber="1" containsInteger="1" minValue="5" maxValue="5"/>
    </cacheField>
    <cacheField name="Benchmark_Obligataire" numFmtId="9">
      <sharedItems containsSemiMixedTypes="0" containsString="0" containsNumber="1" minValue="0" maxValue="1"/>
    </cacheField>
    <cacheField name="Benchmark_BRVMC" numFmtId="9">
      <sharedItems containsSemiMixedTypes="0" containsString="0" containsNumber="1" minValue="0" maxValue="1"/>
    </cacheField>
    <cacheField name="Date de création" numFmtId="14">
      <sharedItems containsSemiMixedTypes="0" containsNonDate="0" containsDate="1" containsString="0" minDate="2004-02-12T00:00:00" maxDate="2024-10-08T00:00:00" count="20">
        <d v="2015-02-25T00:00:00"/>
        <d v="2017-01-06T00:00:00"/>
        <d v="2018-01-25T00:00:00"/>
        <d v="2014-07-17T00:00:00"/>
        <d v="2016-09-02T00:00:00"/>
        <d v="2019-03-13T00:00:00"/>
        <d v="2019-03-12T00:00:00"/>
        <d v="2019-03-14T00:00:00"/>
        <d v="2017-10-01T00:00:00"/>
        <d v="2014-03-29T00:00:00"/>
        <d v="2009-06-27T00:00:00"/>
        <d v="2013-03-29T00:00:00"/>
        <d v="2019-10-01T00:00:00"/>
        <d v="2024-10-07T00:00:00"/>
        <d v="2019-03-26T00:00:00"/>
        <d v="2004-02-12T00:00:00"/>
        <d v="2016-10-04T00:00:00"/>
        <d v="2014-02-25T00:00:00"/>
        <d v="2014-02-15T00:00:00"/>
        <d v="2018-01-01T00:00:00"/>
      </sharedItems>
    </cacheField>
    <cacheField name="Dépositaire" numFmtId="0">
      <sharedItems count="2">
        <s v="CGF Bourse"/>
        <s v="Impaxis Securities"/>
      </sharedItems>
    </cacheField>
    <cacheField name="Frais de gestion_x000a_(TTC de l'actif net / an)" numFmtId="0">
      <sharedItems containsSemiMixedTypes="0" containsString="0" containsNumber="1" minValue="1.18E-2" maxValue="2.8000000000000001E-2" count="7">
        <n v="2.1000000000000001E-2"/>
        <n v="2.8000000000000001E-2"/>
        <n v="1.7999999999999999E-2"/>
        <n v="2.4E-2"/>
        <n v="1.18E-2"/>
        <n v="2.12E-2"/>
        <n v="1.4999999999999999E-2"/>
      </sharedItems>
    </cacheField>
    <cacheField name="Frais d'entrée TTC" numFmtId="0">
      <sharedItems containsMixedTypes="1" containsNumber="1" minValue="0" maxValue="500"/>
    </cacheField>
    <cacheField name="Frais de sortie TTC" numFmtId="0">
      <sharedItems containsMixedTypes="1" containsNumber="1" minValue="0" maxValue="1500"/>
    </cacheField>
  </cacheFields>
  <extLst>
    <ext xmlns:x14="http://schemas.microsoft.com/office/spreadsheetml/2009/9/main" uri="{725AE2AE-9491-48be-B2B4-4EB974FC3084}">
      <x14:pivotCacheDefinition pivotCacheId="12741667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4"/>
    <x v="0"/>
    <n v="5"/>
    <n v="0.75"/>
    <n v="0.25"/>
    <x v="0"/>
    <x v="0"/>
    <x v="0"/>
    <s v="Néant"/>
    <s v="Néant"/>
  </r>
  <r>
    <x v="1"/>
    <n v="3"/>
    <x v="0"/>
    <n v="5"/>
    <n v="0.6"/>
    <n v="0.4"/>
    <x v="1"/>
    <x v="0"/>
    <x v="1"/>
    <n v="500"/>
    <n v="1500"/>
  </r>
  <r>
    <x v="2"/>
    <n v="3"/>
    <x v="0"/>
    <n v="5"/>
    <n v="0.75"/>
    <n v="0.25"/>
    <x v="2"/>
    <x v="0"/>
    <x v="1"/>
    <n v="0.01"/>
    <n v="0.01"/>
  </r>
  <r>
    <x v="3"/>
    <n v="4"/>
    <x v="0"/>
    <n v="5"/>
    <n v="0.45"/>
    <n v="0.55000000000000004"/>
    <x v="3"/>
    <x v="0"/>
    <x v="2"/>
    <s v="Néant"/>
    <s v="Néant"/>
  </r>
  <r>
    <x v="4"/>
    <n v="3"/>
    <x v="0"/>
    <n v="5"/>
    <n v="0.6"/>
    <n v="0.4"/>
    <x v="4"/>
    <x v="0"/>
    <x v="3"/>
    <n v="500"/>
    <n v="1500"/>
  </r>
  <r>
    <x v="5"/>
    <n v="3"/>
    <x v="0"/>
    <n v="5"/>
    <n v="0.85"/>
    <n v="0.15000000000000002"/>
    <x v="5"/>
    <x v="0"/>
    <x v="1"/>
    <s v="1% HT"/>
    <s v="1% HT"/>
  </r>
  <r>
    <x v="6"/>
    <n v="3"/>
    <x v="0"/>
    <n v="5"/>
    <n v="0.6"/>
    <n v="0.4"/>
    <x v="6"/>
    <x v="0"/>
    <x v="1"/>
    <n v="0.01"/>
    <s v="Néant"/>
  </r>
  <r>
    <x v="7"/>
    <n v="3"/>
    <x v="0"/>
    <n v="5"/>
    <n v="0.6"/>
    <n v="0.4"/>
    <x v="7"/>
    <x v="0"/>
    <x v="2"/>
    <s v="Néant"/>
    <s v="Néant"/>
  </r>
  <r>
    <x v="8"/>
    <n v="3"/>
    <x v="0"/>
    <n v="5"/>
    <n v="0.85"/>
    <n v="0.15000000000000002"/>
    <x v="8"/>
    <x v="0"/>
    <x v="2"/>
    <s v="Néant"/>
    <s v="Néant"/>
  </r>
  <r>
    <x v="9"/>
    <n v="3"/>
    <x v="0"/>
    <n v="5"/>
    <n v="0.8"/>
    <n v="0.19999999999999996"/>
    <x v="9"/>
    <x v="0"/>
    <x v="2"/>
    <s v="Néant"/>
    <s v="Néant"/>
  </r>
  <r>
    <x v="10"/>
    <n v="5"/>
    <x v="1"/>
    <n v="5"/>
    <n v="0"/>
    <n v="1"/>
    <x v="0"/>
    <x v="0"/>
    <x v="0"/>
    <s v="Néant"/>
    <s v="Néant"/>
  </r>
  <r>
    <x v="11"/>
    <n v="5"/>
    <x v="0"/>
    <n v="5"/>
    <n v="0.6"/>
    <n v="0.4"/>
    <x v="10"/>
    <x v="0"/>
    <x v="0"/>
    <n v="500"/>
    <n v="1500"/>
  </r>
  <r>
    <x v="12"/>
    <n v="2"/>
    <x v="0"/>
    <n v="5"/>
    <n v="0.9"/>
    <n v="9.9999999999999978E-2"/>
    <x v="11"/>
    <x v="0"/>
    <x v="4"/>
    <s v="Néant"/>
    <s v="Néant"/>
  </r>
  <r>
    <x v="13"/>
    <n v="4"/>
    <x v="0"/>
    <n v="5"/>
    <n v="0.6"/>
    <n v="0.4"/>
    <x v="12"/>
    <x v="0"/>
    <x v="1"/>
    <s v="Néant"/>
    <s v="Néant"/>
  </r>
  <r>
    <x v="14"/>
    <n v="4"/>
    <x v="0"/>
    <n v="5"/>
    <n v="0.7"/>
    <n v="0.30000000000000004"/>
    <x v="13"/>
    <x v="0"/>
    <x v="1"/>
    <n v="0"/>
    <n v="0"/>
  </r>
  <r>
    <x v="15"/>
    <n v="3"/>
    <x v="0"/>
    <n v="5"/>
    <n v="0.6"/>
    <n v="0.4"/>
    <x v="14"/>
    <x v="0"/>
    <x v="1"/>
    <s v="Néant"/>
    <s v="Néant"/>
  </r>
  <r>
    <x v="16"/>
    <n v="7"/>
    <x v="0"/>
    <n v="5"/>
    <n v="0.45"/>
    <n v="0.55000000000000004"/>
    <x v="15"/>
    <x v="0"/>
    <x v="2"/>
    <s v="Néant"/>
    <s v="Néant"/>
  </r>
  <r>
    <x v="17"/>
    <n v="4"/>
    <x v="0"/>
    <n v="5"/>
    <n v="0.75"/>
    <n v="0.25"/>
    <x v="16"/>
    <x v="0"/>
    <x v="5"/>
    <s v="Néant"/>
    <s v="Néant"/>
  </r>
  <r>
    <x v="18"/>
    <n v="4"/>
    <x v="0"/>
    <n v="5"/>
    <n v="0.75"/>
    <n v="0.25"/>
    <x v="17"/>
    <x v="0"/>
    <x v="0"/>
    <s v="Néant"/>
    <s v="Néant"/>
  </r>
  <r>
    <x v="19"/>
    <n v="4"/>
    <x v="0"/>
    <n v="5"/>
    <n v="0.75"/>
    <n v="0.25"/>
    <x v="18"/>
    <x v="1"/>
    <x v="4"/>
    <s v="Néant"/>
    <s v="Néant"/>
  </r>
  <r>
    <x v="20"/>
    <n v="2"/>
    <x v="2"/>
    <n v="5"/>
    <n v="1"/>
    <n v="0"/>
    <x v="19"/>
    <x v="0"/>
    <x v="6"/>
    <s v="Néant"/>
    <s v="Néant"/>
  </r>
  <r>
    <x v="21"/>
    <n v="3"/>
    <x v="0"/>
    <n v="5"/>
    <n v="1"/>
    <n v="0"/>
    <x v="11"/>
    <x v="0"/>
    <x v="4"/>
    <s v="Néant"/>
    <s v="Néa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59F3D-13EB-434B-AF0F-7C5D7E0FAA40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M28:O31" firstHeaderRow="0" firstDataRow="1" firstDataCol="1"/>
  <pivotFields count="11">
    <pivotField showAll="0">
      <items count="23">
        <item x="0"/>
        <item x="2"/>
        <item x="3"/>
        <item x="9"/>
        <item x="4"/>
        <item x="5"/>
        <item x="6"/>
        <item x="21"/>
        <item x="17"/>
        <item x="7"/>
        <item x="19"/>
        <item x="20"/>
        <item x="8"/>
        <item x="10"/>
        <item x="12"/>
        <item x="11"/>
        <item x="13"/>
        <item x="1"/>
        <item x="18"/>
        <item x="14"/>
        <item x="15"/>
        <item x="16"/>
        <item t="default"/>
      </items>
    </pivotField>
    <pivotField showAll="0"/>
    <pivotField showAll="0"/>
    <pivotField showAll="0"/>
    <pivotField numFmtId="9" showAll="0"/>
    <pivotField numFmtId="9" showAll="0"/>
    <pivotField numFmtId="14" showAll="0">
      <items count="21">
        <item x="15"/>
        <item x="10"/>
        <item x="11"/>
        <item x="18"/>
        <item x="17"/>
        <item x="9"/>
        <item x="3"/>
        <item x="0"/>
        <item x="4"/>
        <item x="16"/>
        <item x="1"/>
        <item x="8"/>
        <item x="19"/>
        <item x="2"/>
        <item x="6"/>
        <item x="5"/>
        <item x="7"/>
        <item x="14"/>
        <item x="12"/>
        <item x="13"/>
        <item t="default"/>
      </items>
    </pivotField>
    <pivotField axis="axisRow" dataField="1" showAll="0">
      <items count="3">
        <item x="0"/>
        <item x="1"/>
        <item t="default"/>
      </items>
    </pivotField>
    <pivotField showAll="0">
      <items count="8">
        <item x="4"/>
        <item x="6"/>
        <item x="2"/>
        <item x="0"/>
        <item x="5"/>
        <item x="3"/>
        <item x="1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portion" fld="7" subtotal="count" showDataAs="percentOfCol" baseField="0" baseItem="0" numFmtId="10"/>
    <dataField name="Effectif" fld="7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7" type="button" dataOnly="0" labelOnly="1" outline="0" axis="axisRow" fieldPosition="0"/>
    </format>
    <format dxfId="16">
      <pivotArea dataOnly="0" labelOnly="1" fieldPosition="0">
        <references count="1">
          <reference field="7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7" type="button" dataOnly="0" labelOnly="1" outline="0" axis="axisRow" fieldPosition="0"/>
    </format>
    <format dxfId="4">
      <pivotArea dataOnly="0" labelOnly="1" fieldPosition="0">
        <references count="1">
          <reference field="7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7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E3806-D2C1-4614-AEAC-1DB4057B72D4}" name="Tableau croisé dynamique5" cacheId="0" applyNumberFormats="0" applyBorderFormats="0" applyFontFormats="0" applyPatternFormats="0" applyAlignmentFormats="0" applyWidthHeightFormats="1" dataCaption="Valeurs" updatedVersion="8" minRefreshableVersion="5" useAutoFormatting="1" rowGrandTotals="0" colGrandTotals="0" itemPrintTitles="1" createdVersion="8" indent="0" outline="1" outlineData="1" multipleFieldFilters="0" chartFormat="7">
  <location ref="E3:G25" firstHeaderRow="0" firstDataRow="1" firstDataCol="1" rowPageCount="1" colPageCount="1"/>
  <pivotFields count="11">
    <pivotField axis="axisRow" showAll="0" sortType="ascending">
      <items count="23">
        <item x="0"/>
        <item x="2"/>
        <item x="3"/>
        <item x="9"/>
        <item x="4"/>
        <item x="5"/>
        <item x="6"/>
        <item x="21"/>
        <item x="17"/>
        <item x="7"/>
        <item x="19"/>
        <item x="20"/>
        <item x="8"/>
        <item x="10"/>
        <item x="12"/>
        <item x="11"/>
        <item x="13"/>
        <item x="1"/>
        <item x="18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dataField="1" numFmtId="9" showAll="0"/>
    <pivotField dataField="1" numFmtId="9" showAll="0"/>
    <pivotField numFmtId="14" showAll="0">
      <items count="21">
        <item x="15"/>
        <item x="10"/>
        <item x="11"/>
        <item x="18"/>
        <item x="17"/>
        <item x="9"/>
        <item x="3"/>
        <item x="0"/>
        <item x="4"/>
        <item x="16"/>
        <item x="1"/>
        <item x="8"/>
        <item x="19"/>
        <item x="2"/>
        <item x="6"/>
        <item x="5"/>
        <item x="7"/>
        <item x="14"/>
        <item x="12"/>
        <item x="1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2">
    <i>
      <x v="13"/>
    </i>
    <i>
      <x v="21"/>
    </i>
    <i>
      <x v="2"/>
    </i>
    <i>
      <x v="15"/>
    </i>
    <i>
      <x v="16"/>
    </i>
    <i>
      <x v="9"/>
    </i>
    <i>
      <x v="17"/>
    </i>
    <i>
      <x v="4"/>
    </i>
    <i>
      <x v="20"/>
    </i>
    <i>
      <x v="6"/>
    </i>
    <i>
      <x v="19"/>
    </i>
    <i>
      <x v="10"/>
    </i>
    <i>
      <x/>
    </i>
    <i>
      <x v="8"/>
    </i>
    <i>
      <x v="1"/>
    </i>
    <i>
      <x v="18"/>
    </i>
    <i>
      <x v="3"/>
    </i>
    <i>
      <x v="5"/>
    </i>
    <i>
      <x v="12"/>
    </i>
    <i>
      <x v="14"/>
    </i>
    <i>
      <x v="7"/>
    </i>
    <i>
      <x v="11"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% Benchmark_Obligataire" fld="4" baseField="0" baseItem="0" numFmtId="9"/>
    <dataField name="% Benchmark_BRVMC" fld="5" baseField="0" baseItem="0" numFmtId="9"/>
  </dataFields>
  <formats count="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</chartFormats>
  <pivotTableStyleInfo name="PivotStyleMedium8" showRowHeaders="1" showColHeaders="1" showRowStripes="0" showColStripes="0" showLastColumn="1"/>
  <filters count="1">
    <filter fld="6" type="dateBetween" evalOrder="-1" id="2" name="Date de création">
      <autoFilter ref="A1">
        <filterColumn colId="0">
          <customFilters and="1">
            <customFilter operator="greaterThanOrEqual" val="44378"/>
            <customFilter operator="lessThanOrEqual" val="444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72DCD-4F73-4262-90BD-FF3A7E5CC548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15">
  <location ref="A27:B49" firstHeaderRow="1" firstDataRow="1" firstDataCol="1"/>
  <pivotFields count="11">
    <pivotField axis="axisRow" showAll="0" sortType="ascending">
      <items count="23">
        <item x="0"/>
        <item x="2"/>
        <item x="3"/>
        <item x="9"/>
        <item x="4"/>
        <item x="5"/>
        <item x="6"/>
        <item x="21"/>
        <item x="17"/>
        <item x="7"/>
        <item x="19"/>
        <item x="20"/>
        <item x="8"/>
        <item x="10"/>
        <item x="12"/>
        <item x="11"/>
        <item x="13"/>
        <item x="1"/>
        <item x="18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numFmtId="9" showAll="0"/>
    <pivotField numFmtId="14" showAll="0"/>
    <pivotField showAll="0"/>
    <pivotField dataField="1" showAll="0">
      <items count="8">
        <item x="4"/>
        <item x="6"/>
        <item x="2"/>
        <item x="0"/>
        <item x="5"/>
        <item x="3"/>
        <item x="1"/>
        <item t="default"/>
      </items>
    </pivotField>
    <pivotField showAll="0"/>
    <pivotField showAll="0"/>
  </pivotFields>
  <rowFields count="1">
    <field x="0"/>
  </rowFields>
  <rowItems count="22">
    <i>
      <x v="10"/>
    </i>
    <i>
      <x v="14"/>
    </i>
    <i>
      <x v="7"/>
    </i>
    <i>
      <x v="11"/>
    </i>
    <i>
      <x v="12"/>
    </i>
    <i>
      <x v="2"/>
    </i>
    <i>
      <x v="9"/>
    </i>
    <i>
      <x v="21"/>
    </i>
    <i>
      <x v="3"/>
    </i>
    <i>
      <x v="13"/>
    </i>
    <i>
      <x v="15"/>
    </i>
    <i>
      <x v="18"/>
    </i>
    <i>
      <x/>
    </i>
    <i>
      <x v="8"/>
    </i>
    <i>
      <x v="4"/>
    </i>
    <i>
      <x v="16"/>
    </i>
    <i>
      <x v="5"/>
    </i>
    <i>
      <x v="19"/>
    </i>
    <i>
      <x v="17"/>
    </i>
    <i>
      <x v="20"/>
    </i>
    <i>
      <x v="1"/>
    </i>
    <i>
      <x v="6"/>
    </i>
  </rowItems>
  <colItems count="1">
    <i/>
  </colItems>
  <dataFields count="1">
    <dataField name="Frais de gestion (%)_x000a_(TTC de l'actif net / an)" fld="8" baseField="0" baseItem="0"/>
  </dataFields>
  <formats count="6">
    <format dxfId="30">
      <pivotArea collapsedLevelsAreSubtotals="1" fieldPosition="0">
        <references count="1">
          <reference field="0" count="0"/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outline="0" axis="axisValues" fieldPosition="0"/>
    </format>
  </format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9D353-E339-4211-AC0F-6618783EF218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A1:C5" firstHeaderRow="0" firstDataRow="1" firstDataCol="1"/>
  <pivotFields count="11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numFmtId="9" showAll="0"/>
    <pivotField numFmtId="9" showAll="0"/>
    <pivotField numFmtId="14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portion" fld="2" subtotal="count" showDataAs="percentOfCol" baseField="0" baseItem="0" numFmtId="10"/>
    <dataField name="Effectif" fld="2" subtotal="count" baseField="2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437E8-A903-4EEE-AEB4-F31CBF44894A}" name="Tableau1" displayName="Tableau1" ref="A1:K23" totalsRowShown="0" headerRowDxfId="49" dataDxfId="48">
  <autoFilter ref="A1:K23" xr:uid="{233437E8-A903-4EEE-AEB4-F31CBF44894A}"/>
  <sortState xmlns:xlrd2="http://schemas.microsoft.com/office/spreadsheetml/2017/richdata2" ref="A2:K23">
    <sortCondition ref="A1:A23"/>
  </sortState>
  <tableColumns count="11">
    <tableColumn id="1" xr3:uid="{7AA31B0B-CFE6-4546-B1DB-F75D2D0E5425}" name="Fond Commun de Placement_x000a_(FCP)" dataDxfId="47"/>
    <tableColumn id="2" xr3:uid="{9BA42D68-4CDF-4835-85B6-D5D4B0E7F523}" name="Echelle de risque" dataDxfId="46"/>
    <tableColumn id="3" xr3:uid="{903D3EBB-A4E2-4BC8-BD48-C62C31AC6BE4}" name="Type de fond" dataDxfId="45"/>
    <tableColumn id="4" xr3:uid="{23D2F006-31FE-41C0-9985-B42A29F4207A}" name="Horizon d'investisement_x000a_(en années)" dataDxfId="44"/>
    <tableColumn id="5" xr3:uid="{5D720A4D-DCA1-422C-A44A-6296644CFB22}" name="Benchmark_Obligataire" dataDxfId="43" dataCellStyle="Pourcentage"/>
    <tableColumn id="6" xr3:uid="{27579F9C-C4DC-4B9A-8C39-5B1B0C75DD89}" name="Benchmark_BRVMC" dataDxfId="42" dataCellStyle="Pourcentage">
      <calculatedColumnFormula>1-E2</calculatedColumnFormula>
    </tableColumn>
    <tableColumn id="7" xr3:uid="{1E78BD90-CFA1-454B-8E44-9E7508E28AA9}" name="Date de création" dataDxfId="41"/>
    <tableColumn id="8" xr3:uid="{1C7107BA-54AC-4787-8E4E-F9C6E4BA8D24}" name="Dépositaire" dataDxfId="40"/>
    <tableColumn id="9" xr3:uid="{94213B23-99BC-47EF-B515-2288D0BAC07A}" name="Frais de gestion_x000a_(TTC de l'actif net / an)" dataDxfId="39" dataCellStyle="Pourcentage"/>
    <tableColumn id="10" xr3:uid="{ECD386BB-E28E-442E-A430-32C6415953D7}" name="Frais d'entrée TTC" dataDxfId="38"/>
    <tableColumn id="11" xr3:uid="{0A9AC5C9-D01D-425D-95A4-5C01DD60E3F5}" name="Frais de sortie TTC" dataDxfId="37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DDD2-7F6D-47A0-906B-C5AA159D4F21}">
  <dimension ref="A1:K36"/>
  <sheetViews>
    <sheetView tabSelected="1" zoomScale="106" workbookViewId="0">
      <pane xSplit="1" topLeftCell="B1" activePane="topRight" state="frozen"/>
      <selection pane="topRight" activeCell="B21" sqref="B21"/>
    </sheetView>
  </sheetViews>
  <sheetFormatPr baseColWidth="10" defaultRowHeight="14.4" x14ac:dyDescent="0.3"/>
  <cols>
    <col min="1" max="1" width="32.5546875" style="2" bestFit="1" customWidth="1"/>
    <col min="2" max="2" width="21.44140625" style="2" bestFit="1" customWidth="1"/>
    <col min="3" max="3" width="17.21875" style="2" bestFit="1" customWidth="1"/>
    <col min="4" max="4" width="27.88671875" style="2" bestFit="1" customWidth="1"/>
    <col min="5" max="5" width="27.33203125" style="2" bestFit="1" customWidth="1"/>
    <col min="6" max="6" width="23.88671875" style="2" bestFit="1" customWidth="1"/>
    <col min="7" max="7" width="20.77734375" style="2" bestFit="1" customWidth="1"/>
    <col min="8" max="8" width="17.21875" style="2" bestFit="1" customWidth="1"/>
    <col min="9" max="9" width="17.88671875" style="2" bestFit="1" customWidth="1"/>
    <col min="10" max="10" width="22.109375" style="2" bestFit="1" customWidth="1"/>
    <col min="11" max="11" width="22.44140625" style="2" bestFit="1" customWidth="1"/>
    <col min="12" max="16384" width="11.5546875" style="2"/>
  </cols>
  <sheetData>
    <row r="1" spans="1:11" s="15" customFormat="1" ht="46.8" x14ac:dyDescent="0.3">
      <c r="A1" s="13" t="s">
        <v>34</v>
      </c>
      <c r="B1" s="14" t="s">
        <v>28</v>
      </c>
      <c r="C1" s="14" t="s">
        <v>0</v>
      </c>
      <c r="D1" s="13" t="s">
        <v>33</v>
      </c>
      <c r="E1" s="14" t="s">
        <v>29</v>
      </c>
      <c r="F1" s="14" t="s">
        <v>30</v>
      </c>
      <c r="G1" s="14" t="s">
        <v>1</v>
      </c>
      <c r="H1" s="14" t="s">
        <v>2</v>
      </c>
      <c r="I1" s="13" t="s">
        <v>32</v>
      </c>
      <c r="J1" s="14" t="s">
        <v>36</v>
      </c>
      <c r="K1" s="14" t="s">
        <v>37</v>
      </c>
    </row>
    <row r="2" spans="1:11" ht="23.4" customHeight="1" x14ac:dyDescent="0.3">
      <c r="A2" s="5" t="s">
        <v>7</v>
      </c>
      <c r="B2" s="5">
        <v>4</v>
      </c>
      <c r="C2" s="5" t="s">
        <v>4</v>
      </c>
      <c r="D2" s="5">
        <v>5</v>
      </c>
      <c r="E2" s="6">
        <f>0.75</f>
        <v>0.75</v>
      </c>
      <c r="F2" s="6">
        <f t="shared" ref="F2:F23" si="0">1-E2</f>
        <v>0.25</v>
      </c>
      <c r="G2" s="7">
        <v>42060</v>
      </c>
      <c r="H2" s="5" t="s">
        <v>31</v>
      </c>
      <c r="I2" s="8">
        <v>2.1000000000000001E-2</v>
      </c>
      <c r="J2" s="9" t="s">
        <v>35</v>
      </c>
      <c r="K2" s="9" t="s">
        <v>35</v>
      </c>
    </row>
    <row r="3" spans="1:11" ht="25.2" customHeight="1" x14ac:dyDescent="0.3">
      <c r="A3" s="5" t="s">
        <v>9</v>
      </c>
      <c r="B3" s="5">
        <v>3</v>
      </c>
      <c r="C3" s="5" t="s">
        <v>4</v>
      </c>
      <c r="D3" s="5">
        <v>5</v>
      </c>
      <c r="E3" s="6">
        <v>0.75</v>
      </c>
      <c r="F3" s="6">
        <f t="shared" si="0"/>
        <v>0.25</v>
      </c>
      <c r="G3" s="7">
        <v>43125</v>
      </c>
      <c r="H3" s="5" t="s">
        <v>31</v>
      </c>
      <c r="I3" s="8">
        <v>2.8000000000000001E-2</v>
      </c>
      <c r="J3" s="6">
        <v>0.01</v>
      </c>
      <c r="K3" s="6">
        <v>0.01</v>
      </c>
    </row>
    <row r="4" spans="1:11" ht="21.6" customHeight="1" x14ac:dyDescent="0.3">
      <c r="A4" s="5" t="s">
        <v>10</v>
      </c>
      <c r="B4" s="5">
        <v>4</v>
      </c>
      <c r="C4" s="5" t="s">
        <v>4</v>
      </c>
      <c r="D4" s="5">
        <v>5</v>
      </c>
      <c r="E4" s="6">
        <v>0.45</v>
      </c>
      <c r="F4" s="6">
        <f t="shared" si="0"/>
        <v>0.55000000000000004</v>
      </c>
      <c r="G4" s="7">
        <v>41837</v>
      </c>
      <c r="H4" s="5" t="s">
        <v>31</v>
      </c>
      <c r="I4" s="8">
        <v>1.7999999999999999E-2</v>
      </c>
      <c r="J4" s="10" t="s">
        <v>35</v>
      </c>
      <c r="K4" s="10" t="s">
        <v>35</v>
      </c>
    </row>
    <row r="5" spans="1:11" ht="21" customHeight="1" x14ac:dyDescent="0.3">
      <c r="A5" s="5" t="s">
        <v>16</v>
      </c>
      <c r="B5" s="5">
        <v>3</v>
      </c>
      <c r="C5" s="5" t="s">
        <v>4</v>
      </c>
      <c r="D5" s="5">
        <v>5</v>
      </c>
      <c r="E5" s="6">
        <v>0.8</v>
      </c>
      <c r="F5" s="6">
        <f t="shared" si="0"/>
        <v>0.19999999999999996</v>
      </c>
      <c r="G5" s="7">
        <v>41727</v>
      </c>
      <c r="H5" s="5" t="s">
        <v>31</v>
      </c>
      <c r="I5" s="8">
        <v>1.7999999999999999E-2</v>
      </c>
      <c r="J5" s="10" t="s">
        <v>35</v>
      </c>
      <c r="K5" s="10" t="s">
        <v>35</v>
      </c>
    </row>
    <row r="6" spans="1:11" ht="18.600000000000001" customHeight="1" x14ac:dyDescent="0.3">
      <c r="A6" s="5" t="s">
        <v>11</v>
      </c>
      <c r="B6" s="5">
        <v>3</v>
      </c>
      <c r="C6" s="5" t="s">
        <v>4</v>
      </c>
      <c r="D6" s="5">
        <v>5</v>
      </c>
      <c r="E6" s="6">
        <v>0.6</v>
      </c>
      <c r="F6" s="6">
        <f t="shared" si="0"/>
        <v>0.4</v>
      </c>
      <c r="G6" s="7">
        <v>42615</v>
      </c>
      <c r="H6" s="5" t="s">
        <v>31</v>
      </c>
      <c r="I6" s="8">
        <v>2.4E-2</v>
      </c>
      <c r="J6" s="10">
        <v>500</v>
      </c>
      <c r="K6" s="10">
        <v>1500</v>
      </c>
    </row>
    <row r="7" spans="1:11" ht="25.8" customHeight="1" x14ac:dyDescent="0.3">
      <c r="A7" s="5" t="s">
        <v>12</v>
      </c>
      <c r="B7" s="5">
        <v>3</v>
      </c>
      <c r="C7" s="5" t="s">
        <v>4</v>
      </c>
      <c r="D7" s="5">
        <v>5</v>
      </c>
      <c r="E7" s="6">
        <v>0.85</v>
      </c>
      <c r="F7" s="6">
        <f t="shared" si="0"/>
        <v>0.15000000000000002</v>
      </c>
      <c r="G7" s="7">
        <v>43537</v>
      </c>
      <c r="H7" s="5" t="s">
        <v>31</v>
      </c>
      <c r="I7" s="8">
        <v>2.8000000000000001E-2</v>
      </c>
      <c r="J7" s="6" t="s">
        <v>39</v>
      </c>
      <c r="K7" s="6" t="s">
        <v>39</v>
      </c>
    </row>
    <row r="8" spans="1:11" ht="22.8" customHeight="1" x14ac:dyDescent="0.3">
      <c r="A8" s="5" t="s">
        <v>13</v>
      </c>
      <c r="B8" s="5">
        <v>3</v>
      </c>
      <c r="C8" s="5" t="s">
        <v>4</v>
      </c>
      <c r="D8" s="5">
        <v>5</v>
      </c>
      <c r="E8" s="6">
        <v>0.6</v>
      </c>
      <c r="F8" s="6">
        <f t="shared" si="0"/>
        <v>0.4</v>
      </c>
      <c r="G8" s="7">
        <v>43536</v>
      </c>
      <c r="H8" s="5" t="s">
        <v>31</v>
      </c>
      <c r="I8" s="8">
        <v>2.8000000000000001E-2</v>
      </c>
      <c r="J8" s="6">
        <v>0.01</v>
      </c>
      <c r="K8" s="6" t="s">
        <v>35</v>
      </c>
    </row>
    <row r="9" spans="1:11" ht="25.8" customHeight="1" x14ac:dyDescent="0.3">
      <c r="A9" s="5" t="s">
        <v>27</v>
      </c>
      <c r="B9" s="5">
        <v>3</v>
      </c>
      <c r="C9" s="5" t="s">
        <v>4</v>
      </c>
      <c r="D9" s="5">
        <v>5</v>
      </c>
      <c r="E9" s="6">
        <v>1</v>
      </c>
      <c r="F9" s="6">
        <f t="shared" si="0"/>
        <v>0</v>
      </c>
      <c r="G9" s="7">
        <v>41362</v>
      </c>
      <c r="H9" s="5" t="s">
        <v>31</v>
      </c>
      <c r="I9" s="11">
        <v>1.18E-2</v>
      </c>
      <c r="J9" s="10" t="s">
        <v>35</v>
      </c>
      <c r="K9" s="10" t="s">
        <v>35</v>
      </c>
    </row>
    <row r="10" spans="1:11" ht="22.2" customHeight="1" x14ac:dyDescent="0.3">
      <c r="A10" s="5" t="s">
        <v>23</v>
      </c>
      <c r="B10" s="5">
        <v>4</v>
      </c>
      <c r="C10" s="5" t="s">
        <v>4</v>
      </c>
      <c r="D10" s="5">
        <v>5</v>
      </c>
      <c r="E10" s="6">
        <v>0.75</v>
      </c>
      <c r="F10" s="6">
        <f t="shared" si="0"/>
        <v>0.25</v>
      </c>
      <c r="G10" s="7">
        <v>42647</v>
      </c>
      <c r="H10" s="5" t="s">
        <v>31</v>
      </c>
      <c r="I10" s="11">
        <v>2.12E-2</v>
      </c>
      <c r="J10" s="10" t="s">
        <v>35</v>
      </c>
      <c r="K10" s="10" t="s">
        <v>35</v>
      </c>
    </row>
    <row r="11" spans="1:11" ht="23.4" customHeight="1" x14ac:dyDescent="0.3">
      <c r="A11" s="5" t="s">
        <v>14</v>
      </c>
      <c r="B11" s="5">
        <v>3</v>
      </c>
      <c r="C11" s="5" t="s">
        <v>4</v>
      </c>
      <c r="D11" s="5">
        <v>5</v>
      </c>
      <c r="E11" s="6">
        <v>0.6</v>
      </c>
      <c r="F11" s="6">
        <f t="shared" si="0"/>
        <v>0.4</v>
      </c>
      <c r="G11" s="7">
        <v>43538</v>
      </c>
      <c r="H11" s="5" t="s">
        <v>31</v>
      </c>
      <c r="I11" s="8">
        <v>1.7999999999999999E-2</v>
      </c>
      <c r="J11" s="10" t="s">
        <v>35</v>
      </c>
      <c r="K11" s="10" t="s">
        <v>35</v>
      </c>
    </row>
    <row r="12" spans="1:11" ht="23.4" customHeight="1" x14ac:dyDescent="0.3">
      <c r="A12" s="5" t="s">
        <v>25</v>
      </c>
      <c r="B12" s="12">
        <v>4</v>
      </c>
      <c r="C12" s="5" t="s">
        <v>4</v>
      </c>
      <c r="D12" s="5">
        <v>5</v>
      </c>
      <c r="E12" s="6">
        <v>0.75</v>
      </c>
      <c r="F12" s="6">
        <f t="shared" si="0"/>
        <v>0.25</v>
      </c>
      <c r="G12" s="7">
        <v>41685</v>
      </c>
      <c r="H12" s="5" t="s">
        <v>38</v>
      </c>
      <c r="I12" s="11">
        <v>1.18E-2</v>
      </c>
      <c r="J12" s="10" t="s">
        <v>35</v>
      </c>
      <c r="K12" s="10" t="s">
        <v>35</v>
      </c>
    </row>
    <row r="13" spans="1:11" ht="24.6" customHeight="1" x14ac:dyDescent="0.3">
      <c r="A13" s="5" t="s">
        <v>26</v>
      </c>
      <c r="B13" s="5">
        <v>2</v>
      </c>
      <c r="C13" s="5" t="s">
        <v>6</v>
      </c>
      <c r="D13" s="5">
        <v>5</v>
      </c>
      <c r="E13" s="6">
        <v>1</v>
      </c>
      <c r="F13" s="6">
        <f t="shared" si="0"/>
        <v>0</v>
      </c>
      <c r="G13" s="7">
        <v>43101</v>
      </c>
      <c r="H13" s="5" t="s">
        <v>31</v>
      </c>
      <c r="I13" s="8">
        <v>1.4999999999999999E-2</v>
      </c>
      <c r="J13" s="10" t="s">
        <v>35</v>
      </c>
      <c r="K13" s="10" t="s">
        <v>35</v>
      </c>
    </row>
    <row r="14" spans="1:11" ht="20.399999999999999" customHeight="1" x14ac:dyDescent="0.3">
      <c r="A14" s="5" t="s">
        <v>15</v>
      </c>
      <c r="B14" s="5">
        <v>3</v>
      </c>
      <c r="C14" s="5" t="s">
        <v>4</v>
      </c>
      <c r="D14" s="5">
        <v>5</v>
      </c>
      <c r="E14" s="6">
        <v>0.85</v>
      </c>
      <c r="F14" s="6">
        <f t="shared" si="0"/>
        <v>0.15000000000000002</v>
      </c>
      <c r="G14" s="7">
        <v>43009</v>
      </c>
      <c r="H14" s="5" t="s">
        <v>31</v>
      </c>
      <c r="I14" s="8">
        <v>1.7999999999999999E-2</v>
      </c>
      <c r="J14" s="10" t="s">
        <v>35</v>
      </c>
      <c r="K14" s="10" t="s">
        <v>35</v>
      </c>
    </row>
    <row r="15" spans="1:11" ht="20.399999999999999" customHeight="1" x14ac:dyDescent="0.3">
      <c r="A15" s="5" t="s">
        <v>17</v>
      </c>
      <c r="B15" s="5">
        <v>5</v>
      </c>
      <c r="C15" s="5" t="s">
        <v>5</v>
      </c>
      <c r="D15" s="5">
        <v>5</v>
      </c>
      <c r="E15" s="6">
        <v>0</v>
      </c>
      <c r="F15" s="6">
        <f t="shared" si="0"/>
        <v>1</v>
      </c>
      <c r="G15" s="7">
        <v>42060</v>
      </c>
      <c r="H15" s="5" t="s">
        <v>31</v>
      </c>
      <c r="I15" s="8">
        <v>2.1000000000000001E-2</v>
      </c>
      <c r="J15" s="10" t="s">
        <v>35</v>
      </c>
      <c r="K15" s="10" t="s">
        <v>35</v>
      </c>
    </row>
    <row r="16" spans="1:11" ht="22.2" customHeight="1" x14ac:dyDescent="0.3">
      <c r="A16" s="5" t="s">
        <v>19</v>
      </c>
      <c r="B16" s="5">
        <v>2</v>
      </c>
      <c r="C16" s="5" t="s">
        <v>4</v>
      </c>
      <c r="D16" s="5">
        <v>5</v>
      </c>
      <c r="E16" s="6">
        <v>0.9</v>
      </c>
      <c r="F16" s="6">
        <f t="shared" si="0"/>
        <v>9.9999999999999978E-2</v>
      </c>
      <c r="G16" s="7">
        <v>41362</v>
      </c>
      <c r="H16" s="5" t="s">
        <v>31</v>
      </c>
      <c r="I16" s="11">
        <v>1.18E-2</v>
      </c>
      <c r="J16" s="10" t="s">
        <v>35</v>
      </c>
      <c r="K16" s="10" t="s">
        <v>35</v>
      </c>
    </row>
    <row r="17" spans="1:11" ht="25.2" customHeight="1" x14ac:dyDescent="0.3">
      <c r="A17" s="5" t="s">
        <v>18</v>
      </c>
      <c r="B17" s="5">
        <v>5</v>
      </c>
      <c r="C17" s="5" t="s">
        <v>4</v>
      </c>
      <c r="D17" s="5">
        <v>5</v>
      </c>
      <c r="E17" s="6">
        <v>0.6</v>
      </c>
      <c r="F17" s="6">
        <f t="shared" si="0"/>
        <v>0.4</v>
      </c>
      <c r="G17" s="7">
        <v>39991</v>
      </c>
      <c r="H17" s="5" t="s">
        <v>31</v>
      </c>
      <c r="I17" s="8">
        <v>2.1000000000000001E-2</v>
      </c>
      <c r="J17" s="10">
        <v>500</v>
      </c>
      <c r="K17" s="10">
        <v>1500</v>
      </c>
    </row>
    <row r="18" spans="1:11" ht="22.2" customHeight="1" x14ac:dyDescent="0.3">
      <c r="A18" s="5" t="s">
        <v>20</v>
      </c>
      <c r="B18" s="5">
        <v>4</v>
      </c>
      <c r="C18" s="5" t="s">
        <v>4</v>
      </c>
      <c r="D18" s="5">
        <v>5</v>
      </c>
      <c r="E18" s="6">
        <v>0.6</v>
      </c>
      <c r="F18" s="6">
        <f t="shared" si="0"/>
        <v>0.4</v>
      </c>
      <c r="G18" s="7">
        <v>43739</v>
      </c>
      <c r="H18" s="5" t="s">
        <v>31</v>
      </c>
      <c r="I18" s="8">
        <v>2.8000000000000001E-2</v>
      </c>
      <c r="J18" s="10" t="s">
        <v>35</v>
      </c>
      <c r="K18" s="10" t="s">
        <v>35</v>
      </c>
    </row>
    <row r="19" spans="1:11" ht="28.8" customHeight="1" x14ac:dyDescent="0.3">
      <c r="A19" s="5" t="s">
        <v>8</v>
      </c>
      <c r="B19" s="5">
        <v>3</v>
      </c>
      <c r="C19" s="5" t="s">
        <v>4</v>
      </c>
      <c r="D19" s="5">
        <v>5</v>
      </c>
      <c r="E19" s="6">
        <v>0.6</v>
      </c>
      <c r="F19" s="6">
        <f t="shared" si="0"/>
        <v>0.4</v>
      </c>
      <c r="G19" s="7">
        <v>42741</v>
      </c>
      <c r="H19" s="5" t="s">
        <v>31</v>
      </c>
      <c r="I19" s="8">
        <v>2.8000000000000001E-2</v>
      </c>
      <c r="J19" s="10">
        <v>500</v>
      </c>
      <c r="K19" s="10">
        <v>1500</v>
      </c>
    </row>
    <row r="20" spans="1:11" ht="24.6" customHeight="1" x14ac:dyDescent="0.3">
      <c r="A20" s="5" t="s">
        <v>24</v>
      </c>
      <c r="B20" s="5">
        <v>4</v>
      </c>
      <c r="C20" s="5" t="s">
        <v>4</v>
      </c>
      <c r="D20" s="5">
        <v>5</v>
      </c>
      <c r="E20" s="6">
        <v>0.75</v>
      </c>
      <c r="F20" s="6">
        <f t="shared" si="0"/>
        <v>0.25</v>
      </c>
      <c r="G20" s="7">
        <v>41695</v>
      </c>
      <c r="H20" s="5" t="s">
        <v>31</v>
      </c>
      <c r="I20" s="8">
        <v>2.1000000000000001E-2</v>
      </c>
      <c r="J20" s="10" t="s">
        <v>35</v>
      </c>
      <c r="K20" s="10" t="s">
        <v>35</v>
      </c>
    </row>
    <row r="21" spans="1:11" ht="27.6" customHeight="1" x14ac:dyDescent="0.3">
      <c r="A21" s="5" t="s">
        <v>21</v>
      </c>
      <c r="B21" s="5">
        <v>4</v>
      </c>
      <c r="C21" s="5" t="s">
        <v>4</v>
      </c>
      <c r="D21" s="5">
        <v>5</v>
      </c>
      <c r="E21" s="6">
        <v>0.7</v>
      </c>
      <c r="F21" s="6">
        <f t="shared" si="0"/>
        <v>0.30000000000000004</v>
      </c>
      <c r="G21" s="7">
        <v>45572</v>
      </c>
      <c r="H21" s="5" t="s">
        <v>31</v>
      </c>
      <c r="I21" s="8">
        <v>2.8000000000000001E-2</v>
      </c>
      <c r="J21" s="10">
        <v>0</v>
      </c>
      <c r="K21" s="10">
        <v>0</v>
      </c>
    </row>
    <row r="22" spans="1:11" ht="25.8" customHeight="1" x14ac:dyDescent="0.3">
      <c r="A22" s="5" t="s">
        <v>22</v>
      </c>
      <c r="B22" s="5">
        <v>3</v>
      </c>
      <c r="C22" s="5" t="s">
        <v>4</v>
      </c>
      <c r="D22" s="5">
        <v>5</v>
      </c>
      <c r="E22" s="6">
        <v>0.6</v>
      </c>
      <c r="F22" s="6">
        <f t="shared" si="0"/>
        <v>0.4</v>
      </c>
      <c r="G22" s="7">
        <v>43550</v>
      </c>
      <c r="H22" s="5" t="s">
        <v>31</v>
      </c>
      <c r="I22" s="8">
        <v>2.8000000000000001E-2</v>
      </c>
      <c r="J22" s="10" t="s">
        <v>35</v>
      </c>
      <c r="K22" s="10" t="s">
        <v>35</v>
      </c>
    </row>
    <row r="23" spans="1:11" ht="28.2" customHeight="1" x14ac:dyDescent="0.3">
      <c r="A23" s="5" t="s">
        <v>3</v>
      </c>
      <c r="B23" s="5">
        <v>7</v>
      </c>
      <c r="C23" s="5" t="s">
        <v>4</v>
      </c>
      <c r="D23" s="5">
        <v>5</v>
      </c>
      <c r="E23" s="6">
        <v>0.45</v>
      </c>
      <c r="F23" s="6">
        <f t="shared" si="0"/>
        <v>0.55000000000000004</v>
      </c>
      <c r="G23" s="7">
        <v>38029</v>
      </c>
      <c r="H23" s="5" t="s">
        <v>31</v>
      </c>
      <c r="I23" s="8">
        <v>1.7999999999999999E-2</v>
      </c>
      <c r="J23" s="10" t="s">
        <v>35</v>
      </c>
      <c r="K23" s="10" t="s">
        <v>35</v>
      </c>
    </row>
    <row r="24" spans="1:11" x14ac:dyDescent="0.3">
      <c r="E24" s="3"/>
      <c r="F24" s="3"/>
      <c r="I24" s="4"/>
    </row>
    <row r="25" spans="1:11" x14ac:dyDescent="0.3">
      <c r="E25" s="3"/>
      <c r="F25" s="3"/>
      <c r="I25" s="4"/>
    </row>
    <row r="26" spans="1:11" x14ac:dyDescent="0.3">
      <c r="E26" s="3"/>
      <c r="F26" s="3"/>
      <c r="I26" s="4"/>
    </row>
    <row r="27" spans="1:11" x14ac:dyDescent="0.3">
      <c r="E27" s="3"/>
      <c r="F27" s="3"/>
      <c r="I27" s="4"/>
    </row>
    <row r="28" spans="1:11" x14ac:dyDescent="0.3">
      <c r="E28" s="3"/>
      <c r="F28" s="3"/>
      <c r="I28" s="4"/>
    </row>
    <row r="29" spans="1:11" x14ac:dyDescent="0.3">
      <c r="I29" s="4"/>
    </row>
    <row r="30" spans="1:11" x14ac:dyDescent="0.3">
      <c r="I30" s="4"/>
    </row>
    <row r="31" spans="1:11" x14ac:dyDescent="0.3">
      <c r="I31" s="4"/>
    </row>
    <row r="32" spans="1:11" x14ac:dyDescent="0.3">
      <c r="I32" s="4"/>
    </row>
    <row r="33" spans="9:9" x14ac:dyDescent="0.3">
      <c r="I33" s="4"/>
    </row>
    <row r="34" spans="9:9" x14ac:dyDescent="0.3">
      <c r="I34" s="4"/>
    </row>
    <row r="35" spans="9:9" x14ac:dyDescent="0.3">
      <c r="I35" s="4"/>
    </row>
    <row r="36" spans="9:9" x14ac:dyDescent="0.3">
      <c r="I36" s="4"/>
    </row>
  </sheetData>
  <conditionalFormatting sqref="B2:B2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2B65-58E2-4D0B-9BD6-EE081667BB89}">
  <dimension ref="A1:O49"/>
  <sheetViews>
    <sheetView zoomScale="62" zoomScaleNormal="100" workbookViewId="0">
      <selection activeCell="F6" sqref="F6"/>
    </sheetView>
  </sheetViews>
  <sheetFormatPr baseColWidth="10" defaultRowHeight="14.4" x14ac:dyDescent="0.3"/>
  <cols>
    <col min="1" max="1" width="26.5546875" style="1" bestFit="1" customWidth="1"/>
    <col min="2" max="2" width="37" style="1" bestFit="1" customWidth="1"/>
    <col min="3" max="3" width="20.88671875" style="1" bestFit="1" customWidth="1"/>
    <col min="4" max="4" width="11.5546875" style="1"/>
    <col min="5" max="5" width="26.5546875" style="1" bestFit="1" customWidth="1"/>
    <col min="6" max="6" width="22.6640625" style="1" bestFit="1" customWidth="1"/>
    <col min="7" max="7" width="19.33203125" style="1" bestFit="1" customWidth="1"/>
    <col min="8" max="9" width="6" style="1" bestFit="1" customWidth="1"/>
    <col min="10" max="10" width="7" style="1" bestFit="1" customWidth="1"/>
    <col min="11" max="12" width="6" style="1" bestFit="1" customWidth="1"/>
    <col min="13" max="13" width="21.33203125" style="1" bestFit="1" customWidth="1"/>
    <col min="14" max="14" width="20.77734375" style="1" bestFit="1" customWidth="1"/>
    <col min="15" max="15" width="22" style="1" bestFit="1" customWidth="1"/>
    <col min="16" max="16" width="19.21875" style="1" bestFit="1" customWidth="1"/>
    <col min="17" max="17" width="22.88671875" style="1" bestFit="1" customWidth="1"/>
    <col min="18" max="18" width="18.44140625" style="1" bestFit="1" customWidth="1"/>
    <col min="19" max="19" width="20.77734375" style="1" bestFit="1" customWidth="1"/>
    <col min="20" max="20" width="14.109375" style="1" bestFit="1" customWidth="1"/>
    <col min="21" max="21" width="11.88671875" style="1" bestFit="1" customWidth="1"/>
    <col min="22" max="22" width="14.6640625" style="1" bestFit="1" customWidth="1"/>
    <col min="23" max="23" width="10.33203125" style="1" bestFit="1" customWidth="1"/>
    <col min="24" max="24" width="15.109375" style="1" bestFit="1" customWidth="1"/>
    <col min="25" max="25" width="13.77734375" style="1" bestFit="1" customWidth="1"/>
    <col min="26" max="26" width="22.33203125" style="1" bestFit="1" customWidth="1"/>
    <col min="27" max="27" width="28" style="1" bestFit="1" customWidth="1"/>
    <col min="28" max="28" width="24.88671875" style="1" bestFit="1" customWidth="1"/>
    <col min="29" max="29" width="27.44140625" style="1" bestFit="1" customWidth="1"/>
    <col min="30" max="30" width="23" style="1" bestFit="1" customWidth="1"/>
    <col min="31" max="31" width="13.21875" style="1" bestFit="1" customWidth="1"/>
    <col min="32" max="32" width="17.33203125" style="1" bestFit="1" customWidth="1"/>
    <col min="33" max="33" width="13.44140625" style="1" bestFit="1" customWidth="1"/>
    <col min="34" max="34" width="10.33203125" style="1" bestFit="1" customWidth="1"/>
    <col min="35" max="35" width="15.44140625" style="1" bestFit="1" customWidth="1"/>
    <col min="36" max="36" width="11.88671875" style="1" bestFit="1" customWidth="1"/>
    <col min="37" max="16384" width="11.5546875" style="1"/>
  </cols>
  <sheetData>
    <row r="1" spans="1:7" x14ac:dyDescent="0.3">
      <c r="A1" t="s">
        <v>40</v>
      </c>
      <c r="B1" t="s">
        <v>47</v>
      </c>
      <c r="C1" t="s">
        <v>46</v>
      </c>
      <c r="E1" t="s">
        <v>0</v>
      </c>
      <c r="F1" t="s">
        <v>42</v>
      </c>
    </row>
    <row r="2" spans="1:7" x14ac:dyDescent="0.3">
      <c r="A2" s="16" t="s">
        <v>5</v>
      </c>
      <c r="B2" s="17">
        <v>4.5454545454545456E-2</v>
      </c>
      <c r="C2">
        <v>1</v>
      </c>
    </row>
    <row r="3" spans="1:7" x14ac:dyDescent="0.3">
      <c r="A3" s="16" t="s">
        <v>4</v>
      </c>
      <c r="B3" s="17">
        <v>0.90909090909090906</v>
      </c>
      <c r="C3">
        <v>20</v>
      </c>
      <c r="E3" t="s">
        <v>40</v>
      </c>
      <c r="F3" t="s">
        <v>44</v>
      </c>
      <c r="G3" t="s">
        <v>43</v>
      </c>
    </row>
    <row r="4" spans="1:7" x14ac:dyDescent="0.3">
      <c r="A4" s="16" t="s">
        <v>6</v>
      </c>
      <c r="B4" s="17">
        <v>4.5454545454545456E-2</v>
      </c>
      <c r="C4">
        <v>1</v>
      </c>
      <c r="E4" s="16" t="s">
        <v>17</v>
      </c>
      <c r="F4" s="22">
        <v>0</v>
      </c>
      <c r="G4" s="22">
        <v>1</v>
      </c>
    </row>
    <row r="5" spans="1:7" x14ac:dyDescent="0.3">
      <c r="A5" s="16" t="s">
        <v>41</v>
      </c>
      <c r="B5" s="17">
        <v>1</v>
      </c>
      <c r="C5">
        <v>22</v>
      </c>
      <c r="E5" s="16" t="s">
        <v>3</v>
      </c>
      <c r="F5" s="22">
        <v>0.45</v>
      </c>
      <c r="G5" s="22">
        <v>0.55000000000000004</v>
      </c>
    </row>
    <row r="6" spans="1:7" x14ac:dyDescent="0.3">
      <c r="E6" s="16" t="s">
        <v>10</v>
      </c>
      <c r="F6" s="22">
        <v>0.45</v>
      </c>
      <c r="G6" s="22">
        <v>0.55000000000000004</v>
      </c>
    </row>
    <row r="7" spans="1:7" x14ac:dyDescent="0.3">
      <c r="E7" s="16" t="s">
        <v>18</v>
      </c>
      <c r="F7" s="22">
        <v>0.6</v>
      </c>
      <c r="G7" s="22">
        <v>0.4</v>
      </c>
    </row>
    <row r="8" spans="1:7" x14ac:dyDescent="0.3">
      <c r="E8" s="16" t="s">
        <v>20</v>
      </c>
      <c r="F8" s="22">
        <v>0.6</v>
      </c>
      <c r="G8" s="22">
        <v>0.4</v>
      </c>
    </row>
    <row r="9" spans="1:7" x14ac:dyDescent="0.3">
      <c r="E9" s="16" t="s">
        <v>14</v>
      </c>
      <c r="F9" s="22">
        <v>0.6</v>
      </c>
      <c r="G9" s="22">
        <v>0.4</v>
      </c>
    </row>
    <row r="10" spans="1:7" x14ac:dyDescent="0.3">
      <c r="E10" s="16" t="s">
        <v>8</v>
      </c>
      <c r="F10" s="22">
        <v>0.6</v>
      </c>
      <c r="G10" s="22">
        <v>0.4</v>
      </c>
    </row>
    <row r="11" spans="1:7" x14ac:dyDescent="0.3">
      <c r="E11" s="16" t="s">
        <v>11</v>
      </c>
      <c r="F11" s="22">
        <v>0.6</v>
      </c>
      <c r="G11" s="22">
        <v>0.4</v>
      </c>
    </row>
    <row r="12" spans="1:7" x14ac:dyDescent="0.3">
      <c r="E12" s="16" t="s">
        <v>22</v>
      </c>
      <c r="F12" s="22">
        <v>0.6</v>
      </c>
      <c r="G12" s="22">
        <v>0.4</v>
      </c>
    </row>
    <row r="13" spans="1:7" x14ac:dyDescent="0.3">
      <c r="E13" s="16" t="s">
        <v>13</v>
      </c>
      <c r="F13" s="22">
        <v>0.6</v>
      </c>
      <c r="G13" s="22">
        <v>0.4</v>
      </c>
    </row>
    <row r="14" spans="1:7" x14ac:dyDescent="0.3">
      <c r="E14" s="16" t="s">
        <v>21</v>
      </c>
      <c r="F14" s="22">
        <v>0.7</v>
      </c>
      <c r="G14" s="22">
        <v>0.30000000000000004</v>
      </c>
    </row>
    <row r="15" spans="1:7" x14ac:dyDescent="0.3">
      <c r="E15" s="16" t="s">
        <v>25</v>
      </c>
      <c r="F15" s="22">
        <v>0.75</v>
      </c>
      <c r="G15" s="22">
        <v>0.25</v>
      </c>
    </row>
    <row r="16" spans="1:7" x14ac:dyDescent="0.3">
      <c r="E16" s="16" t="s">
        <v>7</v>
      </c>
      <c r="F16" s="22">
        <v>0.75</v>
      </c>
      <c r="G16" s="22">
        <v>0.25</v>
      </c>
    </row>
    <row r="17" spans="1:15" x14ac:dyDescent="0.3">
      <c r="E17" s="16" t="s">
        <v>23</v>
      </c>
      <c r="F17" s="22">
        <v>0.75</v>
      </c>
      <c r="G17" s="22">
        <v>0.25</v>
      </c>
    </row>
    <row r="18" spans="1:15" x14ac:dyDescent="0.3">
      <c r="E18" s="16" t="s">
        <v>9</v>
      </c>
      <c r="F18" s="22">
        <v>0.75</v>
      </c>
      <c r="G18" s="22">
        <v>0.25</v>
      </c>
    </row>
    <row r="19" spans="1:15" x14ac:dyDescent="0.3">
      <c r="E19" s="16" t="s">
        <v>24</v>
      </c>
      <c r="F19" s="22">
        <v>0.75</v>
      </c>
      <c r="G19" s="22">
        <v>0.25</v>
      </c>
    </row>
    <row r="20" spans="1:15" x14ac:dyDescent="0.3">
      <c r="E20" s="16" t="s">
        <v>16</v>
      </c>
      <c r="F20" s="22">
        <v>0.8</v>
      </c>
      <c r="G20" s="22">
        <v>0.19999999999999996</v>
      </c>
    </row>
    <row r="21" spans="1:15" x14ac:dyDescent="0.3">
      <c r="E21" s="16" t="s">
        <v>12</v>
      </c>
      <c r="F21" s="22">
        <v>0.85</v>
      </c>
      <c r="G21" s="22">
        <v>0.15000000000000002</v>
      </c>
    </row>
    <row r="22" spans="1:15" x14ac:dyDescent="0.3">
      <c r="E22" s="16" t="s">
        <v>15</v>
      </c>
      <c r="F22" s="22">
        <v>0.85</v>
      </c>
      <c r="G22" s="22">
        <v>0.15000000000000002</v>
      </c>
    </row>
    <row r="23" spans="1:15" x14ac:dyDescent="0.3">
      <c r="E23" s="16" t="s">
        <v>19</v>
      </c>
      <c r="F23" s="22">
        <v>0.9</v>
      </c>
      <c r="G23" s="22">
        <v>9.9999999999999978E-2</v>
      </c>
    </row>
    <row r="24" spans="1:15" x14ac:dyDescent="0.3">
      <c r="E24" s="16" t="s">
        <v>27</v>
      </c>
      <c r="F24" s="22">
        <v>1</v>
      </c>
      <c r="G24" s="22">
        <v>0</v>
      </c>
    </row>
    <row r="25" spans="1:15" x14ac:dyDescent="0.3">
      <c r="E25" s="16" t="s">
        <v>26</v>
      </c>
      <c r="F25" s="22">
        <v>1</v>
      </c>
      <c r="G25" s="22">
        <v>0</v>
      </c>
    </row>
    <row r="27" spans="1:15" x14ac:dyDescent="0.3">
      <c r="A27" t="s">
        <v>40</v>
      </c>
      <c r="B27" t="s">
        <v>45</v>
      </c>
    </row>
    <row r="28" spans="1:15" x14ac:dyDescent="0.3">
      <c r="A28" s="16" t="s">
        <v>25</v>
      </c>
      <c r="B28" s="17">
        <v>1.18E-2</v>
      </c>
      <c r="M28" s="21" t="s">
        <v>40</v>
      </c>
      <c r="N28" s="21" t="s">
        <v>47</v>
      </c>
      <c r="O28" s="21" t="s">
        <v>46</v>
      </c>
    </row>
    <row r="29" spans="1:15" x14ac:dyDescent="0.3">
      <c r="A29" s="16" t="s">
        <v>19</v>
      </c>
      <c r="B29" s="17">
        <v>1.18E-2</v>
      </c>
      <c r="M29" s="19" t="s">
        <v>31</v>
      </c>
      <c r="N29" s="20">
        <v>0.95454545454545459</v>
      </c>
      <c r="O29" s="18">
        <v>21</v>
      </c>
    </row>
    <row r="30" spans="1:15" x14ac:dyDescent="0.3">
      <c r="A30" s="16" t="s">
        <v>27</v>
      </c>
      <c r="B30" s="17">
        <v>1.18E-2</v>
      </c>
      <c r="M30" s="19" t="s">
        <v>38</v>
      </c>
      <c r="N30" s="20">
        <v>4.5454545454545456E-2</v>
      </c>
      <c r="O30" s="18">
        <v>1</v>
      </c>
    </row>
    <row r="31" spans="1:15" x14ac:dyDescent="0.3">
      <c r="A31" s="16" t="s">
        <v>26</v>
      </c>
      <c r="B31" s="17">
        <v>1.4999999999999999E-2</v>
      </c>
      <c r="M31" s="19" t="s">
        <v>41</v>
      </c>
      <c r="N31" s="20">
        <v>1</v>
      </c>
      <c r="O31" s="18">
        <v>22</v>
      </c>
    </row>
    <row r="32" spans="1:15" x14ac:dyDescent="0.3">
      <c r="A32" s="16" t="s">
        <v>15</v>
      </c>
      <c r="B32" s="17">
        <v>1.7999999999999999E-2</v>
      </c>
    </row>
    <row r="33" spans="1:2" x14ac:dyDescent="0.3">
      <c r="A33" s="16" t="s">
        <v>10</v>
      </c>
      <c r="B33" s="17">
        <v>1.7999999999999999E-2</v>
      </c>
    </row>
    <row r="34" spans="1:2" x14ac:dyDescent="0.3">
      <c r="A34" s="16" t="s">
        <v>14</v>
      </c>
      <c r="B34" s="17">
        <v>1.7999999999999999E-2</v>
      </c>
    </row>
    <row r="35" spans="1:2" x14ac:dyDescent="0.3">
      <c r="A35" s="16" t="s">
        <v>3</v>
      </c>
      <c r="B35" s="17">
        <v>1.7999999999999999E-2</v>
      </c>
    </row>
    <row r="36" spans="1:2" x14ac:dyDescent="0.3">
      <c r="A36" s="16" t="s">
        <v>16</v>
      </c>
      <c r="B36" s="17">
        <v>1.7999999999999999E-2</v>
      </c>
    </row>
    <row r="37" spans="1:2" x14ac:dyDescent="0.3">
      <c r="A37" s="16" t="s">
        <v>17</v>
      </c>
      <c r="B37" s="17">
        <v>2.1000000000000001E-2</v>
      </c>
    </row>
    <row r="38" spans="1:2" x14ac:dyDescent="0.3">
      <c r="A38" s="16" t="s">
        <v>18</v>
      </c>
      <c r="B38" s="17">
        <v>2.1000000000000001E-2</v>
      </c>
    </row>
    <row r="39" spans="1:2" x14ac:dyDescent="0.3">
      <c r="A39" s="16" t="s">
        <v>24</v>
      </c>
      <c r="B39" s="17">
        <v>2.1000000000000001E-2</v>
      </c>
    </row>
    <row r="40" spans="1:2" x14ac:dyDescent="0.3">
      <c r="A40" s="16" t="s">
        <v>7</v>
      </c>
      <c r="B40" s="17">
        <v>2.1000000000000001E-2</v>
      </c>
    </row>
    <row r="41" spans="1:2" x14ac:dyDescent="0.3">
      <c r="A41" s="16" t="s">
        <v>23</v>
      </c>
      <c r="B41" s="17">
        <v>2.12E-2</v>
      </c>
    </row>
    <row r="42" spans="1:2" x14ac:dyDescent="0.3">
      <c r="A42" s="16" t="s">
        <v>11</v>
      </c>
      <c r="B42" s="17">
        <v>2.4E-2</v>
      </c>
    </row>
    <row r="43" spans="1:2" x14ac:dyDescent="0.3">
      <c r="A43" s="16" t="s">
        <v>20</v>
      </c>
      <c r="B43" s="17">
        <v>2.8000000000000001E-2</v>
      </c>
    </row>
    <row r="44" spans="1:2" x14ac:dyDescent="0.3">
      <c r="A44" s="16" t="s">
        <v>12</v>
      </c>
      <c r="B44" s="17">
        <v>2.8000000000000001E-2</v>
      </c>
    </row>
    <row r="45" spans="1:2" x14ac:dyDescent="0.3">
      <c r="A45" s="16" t="s">
        <v>21</v>
      </c>
      <c r="B45" s="17">
        <v>2.8000000000000001E-2</v>
      </c>
    </row>
    <row r="46" spans="1:2" x14ac:dyDescent="0.3">
      <c r="A46" s="16" t="s">
        <v>8</v>
      </c>
      <c r="B46" s="17">
        <v>2.8000000000000001E-2</v>
      </c>
    </row>
    <row r="47" spans="1:2" x14ac:dyDescent="0.3">
      <c r="A47" s="16" t="s">
        <v>22</v>
      </c>
      <c r="B47" s="17">
        <v>2.8000000000000001E-2</v>
      </c>
    </row>
    <row r="48" spans="1:2" x14ac:dyDescent="0.3">
      <c r="A48" s="16" t="s">
        <v>9</v>
      </c>
      <c r="B48" s="17">
        <v>2.8000000000000001E-2</v>
      </c>
    </row>
    <row r="49" spans="1:2" x14ac:dyDescent="0.3">
      <c r="A49" s="16" t="s">
        <v>13</v>
      </c>
      <c r="B49" s="17">
        <v>2.8000000000000001E-2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Fiche_OCT25</vt:lpstr>
      <vt:lpstr>TCD_OCT25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Dylane NDOUDY-BAMOUENIZO</dc:creator>
  <cp:lastModifiedBy>Dylane NDOUDY-BAMOUENIZO</cp:lastModifiedBy>
  <dcterms:created xsi:type="dcterms:W3CDTF">2025-11-26T09:50:59Z</dcterms:created>
  <dcterms:modified xsi:type="dcterms:W3CDTF">2025-12-12T14:50:18Z</dcterms:modified>
</cp:coreProperties>
</file>